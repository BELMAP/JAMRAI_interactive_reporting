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fsa815.sharepoint.com/sites/EUSummaryReportonAMR201/Shared Documents/WP1. EUSR on AMR/03_Deliverables WP1_2023_EUSR on AMR_calendar year 2024/Deliv. 8.1 Post-consultation version of the report/Zenodo Files/"/>
    </mc:Choice>
  </mc:AlternateContent>
  <xr:revisionPtr revIDLastSave="77" documentId="11_95C9D37C2685CCD84E2002493A1745A7F589E5F3" xr6:coauthVersionLast="47" xr6:coauthVersionMax="47" xr10:uidLastSave="{4CEE57C7-E8DB-4B2F-A18C-4F5F80621C10}"/>
  <bookViews>
    <workbookView xWindow="40920" yWindow="3480" windowWidth="29040" windowHeight="15840" firstSheet="25" activeTab="25" xr2:uid="{00000000-000D-0000-FFFF-FFFF00000000}"/>
  </bookViews>
  <sheets>
    <sheet name="Table of Contents" sheetId="1" r:id="rId1"/>
    <sheet name="Salmonella poultry" sheetId="20" r:id="rId2"/>
    <sheet name="Indicator E. coli broiler" sheetId="21" r:id="rId3"/>
    <sheet name="Indicator E. coli fat. turkey" sheetId="22" r:id="rId4"/>
    <sheet name="Prevalence broiler meat" sheetId="2" r:id="rId5"/>
    <sheet name="Occurrence broiler meat" sheetId="3" r:id="rId6"/>
    <sheet name="Prevalence broilers" sheetId="4" r:id="rId7"/>
    <sheet name="Occurrence broilers" sheetId="5" r:id="rId8"/>
    <sheet name="Prevalence turkey meat" sheetId="6" r:id="rId9"/>
    <sheet name="Occurrence turkey meat" sheetId="7" r:id="rId10"/>
    <sheet name="Prevalence fattening turkeys" sheetId="8" r:id="rId11"/>
    <sheet name="Occurrence fattening turkeys" sheetId="9" r:id="rId12"/>
    <sheet name="Salmonella fat. pigs and cattle" sheetId="25" r:id="rId13"/>
    <sheet name="Indicator E. coli fattening pig" sheetId="26" r:id="rId14"/>
    <sheet name="Indicator E. coli cattle" sheetId="27" r:id="rId15"/>
    <sheet name="Prevalence pig meat" sheetId="10" r:id="rId16"/>
    <sheet name="Occurrence pig meat" sheetId="11" r:id="rId17"/>
    <sheet name="Prevalence fattening pigs" sheetId="12" r:id="rId18"/>
    <sheet name="Occurrence fattening pigs" sheetId="13" r:id="rId19"/>
    <sheet name="Prevalence cattle meat" sheetId="14" r:id="rId20"/>
    <sheet name="Occurrence cattle meat" sheetId="15" r:id="rId21"/>
    <sheet name="Prevalence cattle &lt;1 year" sheetId="16" r:id="rId22"/>
    <sheet name="Occurrence cattle &lt;1 year" sheetId="17" r:id="rId23"/>
    <sheet name="Samples investigated CP-prod" sheetId="28" r:id="rId24"/>
    <sheet name="Occurrence retail &amp; import meat" sheetId="29" r:id="rId25"/>
    <sheet name="Sheetname" sheetId="19" r:id="rId26"/>
  </sheets>
  <definedNames>
    <definedName name="_xlnm._FilterDatabase" localSheetId="7" hidden="1">'Occurrence broilers'!$A$1:$P$32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9" l="1"/>
  <c r="L4" i="29"/>
  <c r="L5" i="29"/>
  <c r="L6" i="29"/>
  <c r="L7" i="29"/>
  <c r="L8" i="29"/>
  <c r="L9" i="29"/>
  <c r="L10" i="29"/>
  <c r="K5" i="27" l="1"/>
  <c r="I5" i="27"/>
  <c r="G5" i="27" l="1"/>
  <c r="E5" i="27"/>
  <c r="Q5" i="27"/>
  <c r="O5" i="27"/>
  <c r="H25" i="26"/>
  <c r="P31" i="5" l="1"/>
  <c r="N31" i="5"/>
  <c r="L31" i="5"/>
  <c r="F31" i="5"/>
  <c r="D31" i="5"/>
  <c r="Q12" i="20" l="1"/>
  <c r="O12" i="20"/>
  <c r="M12" i="20"/>
  <c r="G12" i="20"/>
  <c r="E12" i="20"/>
  <c r="K18" i="21" l="1"/>
  <c r="K19" i="21"/>
  <c r="Q19" i="21"/>
  <c r="O19" i="21"/>
  <c r="M19" i="21"/>
  <c r="I19" i="21"/>
  <c r="G19" i="21"/>
  <c r="E19" i="21"/>
  <c r="M11" i="22"/>
  <c r="Q11" i="22"/>
  <c r="O11" i="22"/>
  <c r="K11" i="22"/>
  <c r="I11" i="22"/>
  <c r="G11" i="22"/>
  <c r="E11" i="22"/>
  <c r="K23" i="26"/>
  <c r="K25" i="26"/>
  <c r="I25" i="26"/>
  <c r="Q25" i="26"/>
  <c r="O25" i="26"/>
  <c r="M25" i="26"/>
  <c r="G25" i="26"/>
  <c r="E25" i="26"/>
  <c r="P31" i="15"/>
  <c r="N31" i="15"/>
  <c r="L31" i="15"/>
  <c r="J31" i="15"/>
  <c r="H31" i="15"/>
  <c r="F31" i="15"/>
  <c r="D31" i="15"/>
  <c r="P35" i="13"/>
  <c r="N35" i="13"/>
  <c r="L35" i="13"/>
  <c r="J35" i="13"/>
  <c r="H35" i="13"/>
  <c r="F35" i="13"/>
  <c r="D35" i="13"/>
  <c r="P31" i="11"/>
  <c r="N31" i="11"/>
  <c r="L31" i="11"/>
  <c r="J31" i="11"/>
  <c r="H31" i="11"/>
  <c r="F31" i="11"/>
  <c r="D31" i="11"/>
  <c r="P16" i="9"/>
  <c r="N16" i="9"/>
  <c r="L16" i="9"/>
  <c r="J16" i="9"/>
  <c r="H16" i="9"/>
  <c r="F16" i="9"/>
  <c r="D16" i="9"/>
  <c r="P25" i="7"/>
  <c r="N25" i="7"/>
  <c r="L25" i="7"/>
  <c r="F25" i="7"/>
  <c r="D25" i="7"/>
  <c r="P34" i="5"/>
  <c r="N34" i="5"/>
  <c r="L34" i="5"/>
  <c r="J34" i="5"/>
  <c r="H34" i="5"/>
  <c r="F34" i="5"/>
  <c r="D34" i="5"/>
  <c r="P33" i="5"/>
  <c r="N33" i="5"/>
  <c r="L33" i="5"/>
  <c r="J33" i="5"/>
  <c r="H33" i="5"/>
  <c r="F33" i="5"/>
  <c r="D33" i="5"/>
  <c r="P31" i="3"/>
  <c r="N31" i="3"/>
  <c r="L31" i="3"/>
  <c r="J31" i="3"/>
  <c r="H31" i="3"/>
  <c r="F31" i="3"/>
  <c r="D31" i="3"/>
  <c r="O10" i="29" l="1"/>
  <c r="F10" i="29"/>
  <c r="O9" i="29"/>
  <c r="F9" i="29"/>
  <c r="O8" i="29"/>
  <c r="F8" i="29"/>
  <c r="O7" i="29"/>
  <c r="F7" i="29"/>
  <c r="O6" i="29"/>
  <c r="F6" i="29"/>
  <c r="O5" i="29"/>
  <c r="F5" i="29"/>
  <c r="O4" i="29"/>
  <c r="F4" i="29"/>
  <c r="O3" i="29"/>
  <c r="F3" i="29"/>
  <c r="Q12" i="27"/>
  <c r="O12" i="27"/>
  <c r="M12" i="27"/>
  <c r="K12" i="27"/>
  <c r="I12" i="27"/>
  <c r="G12" i="27"/>
  <c r="E12" i="27"/>
  <c r="P11" i="27"/>
  <c r="P13" i="27" s="1"/>
  <c r="N11" i="27"/>
  <c r="N13" i="27" s="1"/>
  <c r="L11" i="27"/>
  <c r="L13" i="27" s="1"/>
  <c r="J11" i="27"/>
  <c r="J13" i="27" s="1"/>
  <c r="H11" i="27"/>
  <c r="H13" i="27" s="1"/>
  <c r="F11" i="27"/>
  <c r="F13" i="27" s="1"/>
  <c r="D11" i="27"/>
  <c r="D13" i="27" s="1"/>
  <c r="C11" i="27"/>
  <c r="C13" i="27" s="1"/>
  <c r="B11" i="27"/>
  <c r="B13" i="27" s="1"/>
  <c r="O13" i="27" s="1"/>
  <c r="Q10" i="27"/>
  <c r="O10" i="27"/>
  <c r="M10" i="27"/>
  <c r="K10" i="27"/>
  <c r="I10" i="27"/>
  <c r="G10" i="27"/>
  <c r="E10" i="27"/>
  <c r="Q9" i="27"/>
  <c r="O9" i="27"/>
  <c r="M9" i="27"/>
  <c r="K9" i="27"/>
  <c r="I9" i="27"/>
  <c r="G9" i="27"/>
  <c r="E9" i="27"/>
  <c r="Q8" i="27"/>
  <c r="O8" i="27"/>
  <c r="M8" i="27"/>
  <c r="G8" i="27"/>
  <c r="E8" i="27"/>
  <c r="Q7" i="27"/>
  <c r="O7" i="27"/>
  <c r="M7" i="27"/>
  <c r="G7" i="27"/>
  <c r="E7" i="27"/>
  <c r="Q6" i="27"/>
  <c r="O6" i="27"/>
  <c r="M6" i="27"/>
  <c r="G6" i="27"/>
  <c r="E6" i="27"/>
  <c r="Q4" i="27"/>
  <c r="O4" i="27"/>
  <c r="M4" i="27"/>
  <c r="K4" i="27"/>
  <c r="I4" i="27"/>
  <c r="G4" i="27"/>
  <c r="E4" i="27"/>
  <c r="Q3" i="27"/>
  <c r="O3" i="27"/>
  <c r="M3" i="27"/>
  <c r="K3" i="27"/>
  <c r="I3" i="27"/>
  <c r="G3" i="27"/>
  <c r="E3" i="27"/>
  <c r="Q24" i="26"/>
  <c r="O24" i="26"/>
  <c r="M24" i="26"/>
  <c r="G24" i="26"/>
  <c r="E24" i="26"/>
  <c r="Q23" i="26"/>
  <c r="O23" i="26"/>
  <c r="M23" i="26"/>
  <c r="I23" i="26"/>
  <c r="G23" i="26"/>
  <c r="E23" i="26"/>
  <c r="P22" i="26"/>
  <c r="P26" i="26" s="1"/>
  <c r="N22" i="26"/>
  <c r="N26" i="26" s="1"/>
  <c r="O26" i="26" s="1"/>
  <c r="L22" i="26"/>
  <c r="L26" i="26" s="1"/>
  <c r="J22" i="26"/>
  <c r="J26" i="26" s="1"/>
  <c r="H22" i="26"/>
  <c r="H26" i="26" s="1"/>
  <c r="F22" i="26"/>
  <c r="F26" i="26" s="1"/>
  <c r="D22" i="26"/>
  <c r="D26" i="26" s="1"/>
  <c r="C22" i="26"/>
  <c r="C26" i="26" s="1"/>
  <c r="B22" i="26"/>
  <c r="B26" i="26" s="1"/>
  <c r="Q21" i="26"/>
  <c r="O21" i="26"/>
  <c r="M21" i="26"/>
  <c r="K21" i="26"/>
  <c r="I21" i="26"/>
  <c r="G21" i="26"/>
  <c r="E21" i="26"/>
  <c r="Q20" i="26"/>
  <c r="O20" i="26"/>
  <c r="M20" i="26"/>
  <c r="K20" i="26"/>
  <c r="I20" i="26"/>
  <c r="G20" i="26"/>
  <c r="E20" i="26"/>
  <c r="Q19" i="26"/>
  <c r="O19" i="26"/>
  <c r="M19" i="26"/>
  <c r="K19" i="26"/>
  <c r="I19" i="26"/>
  <c r="G19" i="26"/>
  <c r="E19" i="26"/>
  <c r="Q18" i="26"/>
  <c r="O18" i="26"/>
  <c r="M18" i="26"/>
  <c r="K18" i="26"/>
  <c r="I18" i="26"/>
  <c r="G18" i="26"/>
  <c r="E18" i="26"/>
  <c r="Q17" i="26"/>
  <c r="O17" i="26"/>
  <c r="M17" i="26"/>
  <c r="K17" i="26"/>
  <c r="I17" i="26"/>
  <c r="G17" i="26"/>
  <c r="E17" i="26"/>
  <c r="Q16" i="26"/>
  <c r="O16" i="26"/>
  <c r="M16" i="26"/>
  <c r="K16" i="26"/>
  <c r="I16" i="26"/>
  <c r="G16" i="26"/>
  <c r="E16" i="26"/>
  <c r="Q15" i="26"/>
  <c r="O15" i="26"/>
  <c r="M15" i="26"/>
  <c r="K15" i="26"/>
  <c r="I15" i="26"/>
  <c r="G15" i="26"/>
  <c r="E15" i="26"/>
  <c r="Q14" i="26"/>
  <c r="O14" i="26"/>
  <c r="M14" i="26"/>
  <c r="G14" i="26"/>
  <c r="E14" i="26"/>
  <c r="Q13" i="26"/>
  <c r="O13" i="26"/>
  <c r="M13" i="26"/>
  <c r="K13" i="26"/>
  <c r="I13" i="26"/>
  <c r="G13" i="26"/>
  <c r="E13" i="26"/>
  <c r="Q12" i="26"/>
  <c r="O12" i="26"/>
  <c r="M12" i="26"/>
  <c r="K12" i="26"/>
  <c r="I12" i="26"/>
  <c r="G12" i="26"/>
  <c r="E12" i="26"/>
  <c r="Q11" i="26"/>
  <c r="O11" i="26"/>
  <c r="M11" i="26"/>
  <c r="K11" i="26"/>
  <c r="I11" i="26"/>
  <c r="G11" i="26"/>
  <c r="E11" i="26"/>
  <c r="Q10" i="26"/>
  <c r="O10" i="26"/>
  <c r="M10" i="26"/>
  <c r="G10" i="26"/>
  <c r="E10" i="26"/>
  <c r="Q9" i="26"/>
  <c r="O9" i="26"/>
  <c r="M9" i="26"/>
  <c r="K9" i="26"/>
  <c r="I9" i="26"/>
  <c r="G9" i="26"/>
  <c r="E9" i="26"/>
  <c r="Q8" i="26"/>
  <c r="O8" i="26"/>
  <c r="M8" i="26"/>
  <c r="K8" i="26"/>
  <c r="I8" i="26"/>
  <c r="G8" i="26"/>
  <c r="E8" i="26"/>
  <c r="Q7" i="26"/>
  <c r="O7" i="26"/>
  <c r="M7" i="26"/>
  <c r="K7" i="26"/>
  <c r="I7" i="26"/>
  <c r="G7" i="26"/>
  <c r="E7" i="26"/>
  <c r="Q6" i="26"/>
  <c r="O6" i="26"/>
  <c r="M6" i="26"/>
  <c r="K6" i="26"/>
  <c r="I6" i="26"/>
  <c r="G6" i="26"/>
  <c r="E6" i="26"/>
  <c r="Q5" i="26"/>
  <c r="O5" i="26"/>
  <c r="M5" i="26"/>
  <c r="K5" i="26"/>
  <c r="I5" i="26"/>
  <c r="G5" i="26"/>
  <c r="E5" i="26"/>
  <c r="Q4" i="26"/>
  <c r="O4" i="26"/>
  <c r="M4" i="26"/>
  <c r="K4" i="26"/>
  <c r="I4" i="26"/>
  <c r="G4" i="26"/>
  <c r="E4" i="26"/>
  <c r="Q3" i="26"/>
  <c r="O3" i="26"/>
  <c r="M3" i="26"/>
  <c r="K3" i="26"/>
  <c r="I3" i="26"/>
  <c r="G3" i="26"/>
  <c r="E3" i="26"/>
  <c r="G12" i="25"/>
  <c r="E12" i="25"/>
  <c r="G11" i="25"/>
  <c r="E11" i="25"/>
  <c r="P9" i="25"/>
  <c r="N9" i="25"/>
  <c r="O9" i="25" s="1"/>
  <c r="L9" i="25"/>
  <c r="M9" i="25" s="1"/>
  <c r="J9" i="25"/>
  <c r="K9" i="25" s="1"/>
  <c r="H9" i="25"/>
  <c r="F9" i="25"/>
  <c r="D9" i="25"/>
  <c r="C9" i="25"/>
  <c r="B9" i="25"/>
  <c r="Q8" i="25"/>
  <c r="O8" i="25"/>
  <c r="M8" i="25"/>
  <c r="K8" i="25"/>
  <c r="I8" i="25"/>
  <c r="G8" i="25"/>
  <c r="E8" i="25"/>
  <c r="Q7" i="25"/>
  <c r="O7" i="25"/>
  <c r="M7" i="25"/>
  <c r="K7" i="25"/>
  <c r="I7" i="25"/>
  <c r="G7" i="25"/>
  <c r="E7" i="25"/>
  <c r="Q6" i="25"/>
  <c r="O6" i="25"/>
  <c r="M6" i="25"/>
  <c r="K6" i="25"/>
  <c r="I6" i="25"/>
  <c r="G6" i="25"/>
  <c r="E6" i="25"/>
  <c r="Q5" i="25"/>
  <c r="O5" i="25"/>
  <c r="M5" i="25"/>
  <c r="G5" i="25"/>
  <c r="E5" i="25"/>
  <c r="Q4" i="25"/>
  <c r="O4" i="25"/>
  <c r="M4" i="25"/>
  <c r="K4" i="25"/>
  <c r="I4" i="25"/>
  <c r="G4" i="25"/>
  <c r="E4" i="25"/>
  <c r="Q10" i="22"/>
  <c r="O10" i="22"/>
  <c r="M10" i="22"/>
  <c r="K10" i="22"/>
  <c r="I10" i="22"/>
  <c r="G10" i="22"/>
  <c r="E10" i="22"/>
  <c r="P9" i="22"/>
  <c r="Q9" i="22" s="1"/>
  <c r="N9" i="22"/>
  <c r="L9" i="22"/>
  <c r="M9" i="22" s="1"/>
  <c r="J9" i="22"/>
  <c r="H9" i="22"/>
  <c r="F9" i="22"/>
  <c r="D9" i="22"/>
  <c r="C9" i="22"/>
  <c r="B9" i="22"/>
  <c r="Q8" i="22"/>
  <c r="O8" i="22"/>
  <c r="M8" i="22"/>
  <c r="K8" i="22"/>
  <c r="I8" i="22"/>
  <c r="G8" i="22"/>
  <c r="E8" i="22"/>
  <c r="Q7" i="22"/>
  <c r="O7" i="22"/>
  <c r="M7" i="22"/>
  <c r="K7" i="22"/>
  <c r="I7" i="22"/>
  <c r="G7" i="22"/>
  <c r="E7" i="22"/>
  <c r="Q6" i="22"/>
  <c r="O6" i="22"/>
  <c r="M6" i="22"/>
  <c r="K6" i="22"/>
  <c r="I6" i="22"/>
  <c r="G6" i="22"/>
  <c r="E6" i="22"/>
  <c r="Q5" i="22"/>
  <c r="O5" i="22"/>
  <c r="M5" i="22"/>
  <c r="G5" i="22"/>
  <c r="E5" i="22"/>
  <c r="Q4" i="22"/>
  <c r="O4" i="22"/>
  <c r="M4" i="22"/>
  <c r="G4" i="22"/>
  <c r="E4" i="22"/>
  <c r="Q3" i="22"/>
  <c r="O3" i="22"/>
  <c r="M3" i="22"/>
  <c r="K3" i="22"/>
  <c r="I3" i="22"/>
  <c r="G3" i="22"/>
  <c r="E3" i="22"/>
  <c r="Q18" i="21"/>
  <c r="O18" i="21"/>
  <c r="M18" i="21"/>
  <c r="I18" i="21"/>
  <c r="G18" i="21"/>
  <c r="E18" i="21"/>
  <c r="P17" i="21"/>
  <c r="N17" i="21"/>
  <c r="L17" i="21"/>
  <c r="J17" i="21"/>
  <c r="H17" i="21"/>
  <c r="F17" i="21"/>
  <c r="D17" i="21"/>
  <c r="C17" i="21"/>
  <c r="B17" i="21"/>
  <c r="Q16" i="21"/>
  <c r="O16" i="21"/>
  <c r="M16" i="21"/>
  <c r="K16" i="21"/>
  <c r="I16" i="21"/>
  <c r="G16" i="21"/>
  <c r="E16" i="21"/>
  <c r="Q15" i="21"/>
  <c r="O15" i="21"/>
  <c r="M15" i="21"/>
  <c r="K15" i="21"/>
  <c r="I15" i="21"/>
  <c r="G15" i="21"/>
  <c r="E15" i="21"/>
  <c r="Q14" i="21"/>
  <c r="O14" i="21"/>
  <c r="M14" i="21"/>
  <c r="K14" i="21"/>
  <c r="I14" i="21"/>
  <c r="G14" i="21"/>
  <c r="E14" i="21"/>
  <c r="Q13" i="21"/>
  <c r="O13" i="21"/>
  <c r="M13" i="21"/>
  <c r="K13" i="21"/>
  <c r="I13" i="21"/>
  <c r="G13" i="21"/>
  <c r="E13" i="21"/>
  <c r="Q12" i="21"/>
  <c r="O12" i="21"/>
  <c r="M12" i="21"/>
  <c r="G12" i="21"/>
  <c r="E12" i="21"/>
  <c r="Q11" i="21"/>
  <c r="O11" i="21"/>
  <c r="M11" i="21"/>
  <c r="K11" i="21"/>
  <c r="I11" i="21"/>
  <c r="G11" i="21"/>
  <c r="E11" i="21"/>
  <c r="Q10" i="21"/>
  <c r="O10" i="21"/>
  <c r="M10" i="21"/>
  <c r="K10" i="21"/>
  <c r="I10" i="21"/>
  <c r="G10" i="21"/>
  <c r="E10" i="21"/>
  <c r="Q9" i="21"/>
  <c r="O9" i="21"/>
  <c r="M9" i="21"/>
  <c r="K9" i="21"/>
  <c r="I9" i="21"/>
  <c r="G9" i="21"/>
  <c r="E9" i="21"/>
  <c r="Q8" i="21"/>
  <c r="O8" i="21"/>
  <c r="M8" i="21"/>
  <c r="K8" i="21"/>
  <c r="I8" i="21"/>
  <c r="G8" i="21"/>
  <c r="E8" i="21"/>
  <c r="Q7" i="21"/>
  <c r="O7" i="21"/>
  <c r="M7" i="21"/>
  <c r="G7" i="21"/>
  <c r="E7" i="21"/>
  <c r="Q6" i="21"/>
  <c r="O6" i="21"/>
  <c r="M6" i="21"/>
  <c r="K6" i="21"/>
  <c r="I6" i="21"/>
  <c r="G6" i="21"/>
  <c r="E6" i="21"/>
  <c r="Q5" i="21"/>
  <c r="O5" i="21"/>
  <c r="M5" i="21"/>
  <c r="K5" i="21"/>
  <c r="I5" i="21"/>
  <c r="G5" i="21"/>
  <c r="E5" i="21"/>
  <c r="Q4" i="21"/>
  <c r="O4" i="21"/>
  <c r="M4" i="21"/>
  <c r="K4" i="21"/>
  <c r="I4" i="21"/>
  <c r="G4" i="21"/>
  <c r="E4" i="21"/>
  <c r="Q3" i="21"/>
  <c r="O3" i="21"/>
  <c r="M3" i="21"/>
  <c r="K3" i="21"/>
  <c r="I3" i="21"/>
  <c r="G3" i="21"/>
  <c r="E3" i="21"/>
  <c r="Q26" i="20"/>
  <c r="O26" i="20"/>
  <c r="M26" i="20"/>
  <c r="G26" i="20"/>
  <c r="E26" i="20"/>
  <c r="Q25" i="20"/>
  <c r="O25" i="20"/>
  <c r="M25" i="20"/>
  <c r="G25" i="20"/>
  <c r="E25" i="20"/>
  <c r="L23" i="20"/>
  <c r="F23" i="20"/>
  <c r="D23" i="20"/>
  <c r="C23" i="20"/>
  <c r="B23" i="20"/>
  <c r="Q22" i="20"/>
  <c r="O22" i="20"/>
  <c r="M22" i="20"/>
  <c r="G22" i="20"/>
  <c r="E22" i="20"/>
  <c r="Q21" i="20"/>
  <c r="O21" i="20"/>
  <c r="M21" i="20"/>
  <c r="G21" i="20"/>
  <c r="E21" i="20"/>
  <c r="Q20" i="20"/>
  <c r="O20" i="20"/>
  <c r="M20" i="20"/>
  <c r="G20" i="20"/>
  <c r="E20" i="20"/>
  <c r="Q19" i="20"/>
  <c r="O19" i="20"/>
  <c r="M19" i="20"/>
  <c r="G19" i="20"/>
  <c r="E19" i="20"/>
  <c r="Q17" i="20"/>
  <c r="O17" i="20"/>
  <c r="M17" i="20"/>
  <c r="G17" i="20"/>
  <c r="E17" i="20"/>
  <c r="Q16" i="20"/>
  <c r="O16" i="20"/>
  <c r="M16" i="20"/>
  <c r="G16" i="20"/>
  <c r="E16" i="20"/>
  <c r="P14" i="20"/>
  <c r="N14" i="20"/>
  <c r="L14" i="20"/>
  <c r="F14" i="20"/>
  <c r="D14" i="20"/>
  <c r="C14" i="20"/>
  <c r="B14" i="20"/>
  <c r="Q13" i="20"/>
  <c r="O13" i="20"/>
  <c r="M13" i="20"/>
  <c r="G13" i="20"/>
  <c r="E13" i="20"/>
  <c r="Q11" i="20"/>
  <c r="O11" i="20"/>
  <c r="M11" i="20"/>
  <c r="G11" i="20"/>
  <c r="E11" i="20"/>
  <c r="Q10" i="20"/>
  <c r="O10" i="20"/>
  <c r="M10" i="20"/>
  <c r="G10" i="20"/>
  <c r="E10" i="20"/>
  <c r="Q9" i="20"/>
  <c r="O9" i="20"/>
  <c r="M9" i="20"/>
  <c r="G9" i="20"/>
  <c r="E9" i="20"/>
  <c r="Q8" i="20"/>
  <c r="O8" i="20"/>
  <c r="M8" i="20"/>
  <c r="G8" i="20"/>
  <c r="E8" i="20"/>
  <c r="F6" i="20"/>
  <c r="G6" i="20" s="1"/>
  <c r="D6" i="20"/>
  <c r="C6" i="20"/>
  <c r="B6" i="20"/>
  <c r="Q5" i="20"/>
  <c r="O5" i="20"/>
  <c r="M5" i="20"/>
  <c r="G5" i="20"/>
  <c r="E5" i="20"/>
  <c r="Q4" i="20"/>
  <c r="O4" i="20"/>
  <c r="M4" i="20"/>
  <c r="G4" i="20"/>
  <c r="E4" i="20"/>
  <c r="Q13" i="27" l="1"/>
  <c r="O9" i="22"/>
  <c r="Q26" i="26"/>
  <c r="E26" i="26"/>
  <c r="G13" i="27"/>
  <c r="G26" i="26"/>
  <c r="I13" i="27"/>
  <c r="I26" i="26"/>
  <c r="K13" i="27"/>
  <c r="E13" i="27"/>
  <c r="K26" i="26"/>
  <c r="M13" i="27"/>
  <c r="M26" i="26"/>
  <c r="O22" i="26"/>
  <c r="E23" i="20"/>
  <c r="G14" i="20"/>
  <c r="Q9" i="25"/>
  <c r="E22" i="26"/>
  <c r="O17" i="21"/>
  <c r="G22" i="26"/>
  <c r="Q17" i="21"/>
  <c r="E9" i="25"/>
  <c r="I22" i="26"/>
  <c r="Q22" i="26"/>
  <c r="I9" i="22"/>
  <c r="G9" i="25"/>
  <c r="K22" i="26"/>
  <c r="K9" i="22"/>
  <c r="I9" i="25"/>
  <c r="M22" i="26"/>
  <c r="G23" i="20"/>
  <c r="E14" i="20"/>
  <c r="M14" i="20"/>
  <c r="O14" i="20"/>
  <c r="M23" i="20"/>
  <c r="E6" i="20"/>
  <c r="Q14" i="20"/>
  <c r="I17" i="21"/>
  <c r="K17" i="21"/>
  <c r="M17" i="21"/>
  <c r="I11" i="27"/>
  <c r="K11" i="27"/>
  <c r="M11" i="27"/>
  <c r="O11" i="27"/>
  <c r="Q11" i="27"/>
  <c r="E11" i="27"/>
  <c r="G11" i="27"/>
  <c r="E9" i="22"/>
  <c r="G9" i="22"/>
  <c r="E17" i="21"/>
  <c r="G17" i="21"/>
  <c r="B15" i="16" l="1"/>
  <c r="B31" i="10"/>
  <c r="B15" i="8" l="1"/>
  <c r="B25" i="6"/>
  <c r="B30" i="4" l="1"/>
  <c r="P4" i="17" l="1"/>
  <c r="P5" i="17"/>
  <c r="P6" i="17"/>
  <c r="P7" i="17"/>
  <c r="P8" i="17"/>
  <c r="P9" i="17"/>
  <c r="P10" i="17"/>
  <c r="P11" i="17"/>
  <c r="P12" i="17"/>
  <c r="P13" i="17"/>
  <c r="P15" i="17"/>
  <c r="P3" i="17"/>
  <c r="N4" i="17"/>
  <c r="N5" i="17"/>
  <c r="N6" i="17"/>
  <c r="N7" i="17"/>
  <c r="N8" i="17"/>
  <c r="N9" i="17"/>
  <c r="N10" i="17"/>
  <c r="N11" i="17"/>
  <c r="N12" i="17"/>
  <c r="N13" i="17"/>
  <c r="N15" i="17"/>
  <c r="N3" i="17"/>
  <c r="L4" i="17"/>
  <c r="L5" i="17"/>
  <c r="L6" i="17"/>
  <c r="L7" i="17"/>
  <c r="L8" i="17"/>
  <c r="L9" i="17"/>
  <c r="L10" i="17"/>
  <c r="L11" i="17"/>
  <c r="L12" i="17"/>
  <c r="L13" i="17"/>
  <c r="L15" i="17"/>
  <c r="L3" i="17"/>
  <c r="J6" i="17"/>
  <c r="J7" i="17"/>
  <c r="J11" i="17"/>
  <c r="J12" i="17"/>
  <c r="J13" i="17"/>
  <c r="J15" i="17"/>
  <c r="J5" i="17"/>
  <c r="H6" i="17"/>
  <c r="H7" i="17"/>
  <c r="H11" i="17"/>
  <c r="H12" i="17"/>
  <c r="H13" i="17"/>
  <c r="H15" i="17"/>
  <c r="H5" i="17"/>
  <c r="F4" i="17"/>
  <c r="F5" i="17"/>
  <c r="F6" i="17"/>
  <c r="F7" i="17"/>
  <c r="F8" i="17"/>
  <c r="F9" i="17"/>
  <c r="F10" i="17"/>
  <c r="F11" i="17"/>
  <c r="F12" i="17"/>
  <c r="F13" i="17"/>
  <c r="F15" i="17"/>
  <c r="F3" i="17"/>
  <c r="D4" i="17"/>
  <c r="D5" i="17"/>
  <c r="D6" i="17"/>
  <c r="D7" i="17"/>
  <c r="D8" i="17"/>
  <c r="D9" i="17"/>
  <c r="D10" i="17"/>
  <c r="D11" i="17"/>
  <c r="D12" i="17"/>
  <c r="D13" i="17"/>
  <c r="D15" i="17"/>
  <c r="D3" i="17"/>
  <c r="O14" i="17"/>
  <c r="M14" i="17"/>
  <c r="K14" i="17"/>
  <c r="I14" i="17"/>
  <c r="G14" i="17"/>
  <c r="E14" i="17"/>
  <c r="C14" i="17"/>
  <c r="C16" i="17" s="1"/>
  <c r="B14" i="17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30" i="15"/>
  <c r="P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30" i="15"/>
  <c r="N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30" i="15"/>
  <c r="L3" i="15"/>
  <c r="J6" i="15"/>
  <c r="J8" i="15"/>
  <c r="J9" i="15"/>
  <c r="J11" i="15"/>
  <c r="J13" i="15"/>
  <c r="J14" i="15"/>
  <c r="J15" i="15"/>
  <c r="J17" i="15"/>
  <c r="J18" i="15"/>
  <c r="J19" i="15"/>
  <c r="J20" i="15"/>
  <c r="J22" i="15"/>
  <c r="J23" i="15"/>
  <c r="J24" i="15"/>
  <c r="J25" i="15"/>
  <c r="J26" i="15"/>
  <c r="J27" i="15"/>
  <c r="J30" i="15"/>
  <c r="J5" i="15"/>
  <c r="H6" i="15"/>
  <c r="H8" i="15"/>
  <c r="H9" i="15"/>
  <c r="H11" i="15"/>
  <c r="H13" i="15"/>
  <c r="H14" i="15"/>
  <c r="H15" i="15"/>
  <c r="H17" i="15"/>
  <c r="H18" i="15"/>
  <c r="H19" i="15"/>
  <c r="H20" i="15"/>
  <c r="H22" i="15"/>
  <c r="H23" i="15"/>
  <c r="H24" i="15"/>
  <c r="H25" i="15"/>
  <c r="H26" i="15"/>
  <c r="H27" i="15"/>
  <c r="H30" i="15"/>
  <c r="H5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30" i="15"/>
  <c r="F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30" i="15"/>
  <c r="O29" i="15"/>
  <c r="P29" i="15" s="1"/>
  <c r="M29" i="15"/>
  <c r="N29" i="15" s="1"/>
  <c r="K29" i="15"/>
  <c r="L29" i="15" s="1"/>
  <c r="I29" i="15"/>
  <c r="G29" i="15"/>
  <c r="E29" i="15"/>
  <c r="C29" i="15"/>
  <c r="B29" i="15"/>
  <c r="D3" i="15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2" i="13"/>
  <c r="P34" i="13"/>
  <c r="P33" i="13"/>
  <c r="P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2" i="13"/>
  <c r="N34" i="13"/>
  <c r="N33" i="13"/>
  <c r="N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2" i="13"/>
  <c r="L34" i="13"/>
  <c r="L33" i="13"/>
  <c r="L3" i="13"/>
  <c r="J6" i="13"/>
  <c r="J7" i="13"/>
  <c r="J9" i="13"/>
  <c r="J10" i="13"/>
  <c r="J12" i="13"/>
  <c r="J14" i="13"/>
  <c r="J15" i="13"/>
  <c r="J16" i="13"/>
  <c r="J18" i="13"/>
  <c r="J19" i="13"/>
  <c r="J20" i="13"/>
  <c r="J21" i="13"/>
  <c r="J23" i="13"/>
  <c r="J24" i="13"/>
  <c r="J25" i="13"/>
  <c r="J26" i="13"/>
  <c r="J27" i="13"/>
  <c r="J28" i="13"/>
  <c r="J30" i="13"/>
  <c r="J32" i="13"/>
  <c r="J34" i="13"/>
  <c r="J5" i="13"/>
  <c r="H6" i="13"/>
  <c r="H7" i="13"/>
  <c r="H9" i="13"/>
  <c r="H10" i="13"/>
  <c r="H12" i="13"/>
  <c r="H14" i="13"/>
  <c r="H15" i="13"/>
  <c r="H16" i="13"/>
  <c r="H18" i="13"/>
  <c r="H19" i="13"/>
  <c r="H20" i="13"/>
  <c r="H21" i="13"/>
  <c r="H23" i="13"/>
  <c r="H24" i="13"/>
  <c r="H25" i="13"/>
  <c r="H26" i="13"/>
  <c r="H27" i="13"/>
  <c r="H28" i="13"/>
  <c r="H30" i="13"/>
  <c r="H32" i="13"/>
  <c r="H34" i="13"/>
  <c r="H5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2" i="13"/>
  <c r="F34" i="13"/>
  <c r="F33" i="13"/>
  <c r="F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2" i="13"/>
  <c r="D34" i="13"/>
  <c r="D33" i="13"/>
  <c r="D3" i="13"/>
  <c r="O31" i="13"/>
  <c r="M31" i="13"/>
  <c r="K31" i="13"/>
  <c r="I31" i="13"/>
  <c r="G31" i="13"/>
  <c r="G36" i="13" s="1"/>
  <c r="H36" i="13" s="1"/>
  <c r="E31" i="13"/>
  <c r="E36" i="13" s="1"/>
  <c r="C31" i="13"/>
  <c r="C36" i="13" s="1"/>
  <c r="D36" i="13" s="1"/>
  <c r="B31" i="13"/>
  <c r="B36" i="13" s="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30" i="11"/>
  <c r="P29" i="11"/>
  <c r="P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30" i="11"/>
  <c r="N29" i="11"/>
  <c r="N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30" i="11"/>
  <c r="L29" i="11"/>
  <c r="L3" i="11"/>
  <c r="J6" i="11"/>
  <c r="J8" i="11"/>
  <c r="J9" i="11"/>
  <c r="J10" i="11"/>
  <c r="J12" i="11"/>
  <c r="J13" i="11"/>
  <c r="J14" i="11"/>
  <c r="J16" i="11"/>
  <c r="J17" i="11"/>
  <c r="J18" i="11"/>
  <c r="J19" i="11"/>
  <c r="J21" i="11"/>
  <c r="J22" i="11"/>
  <c r="J23" i="11"/>
  <c r="J24" i="11"/>
  <c r="J25" i="11"/>
  <c r="J26" i="11"/>
  <c r="J30" i="11"/>
  <c r="J5" i="11"/>
  <c r="H6" i="11"/>
  <c r="H8" i="11"/>
  <c r="H9" i="11"/>
  <c r="H10" i="11"/>
  <c r="H12" i="11"/>
  <c r="H13" i="11"/>
  <c r="H14" i="11"/>
  <c r="H16" i="11"/>
  <c r="H17" i="11"/>
  <c r="H18" i="11"/>
  <c r="H19" i="11"/>
  <c r="H21" i="11"/>
  <c r="H22" i="11"/>
  <c r="H23" i="11"/>
  <c r="H24" i="11"/>
  <c r="H25" i="11"/>
  <c r="H26" i="11"/>
  <c r="H30" i="11"/>
  <c r="H5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30" i="11"/>
  <c r="F29" i="11"/>
  <c r="F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30" i="11"/>
  <c r="D29" i="11"/>
  <c r="D3" i="11"/>
  <c r="O28" i="11"/>
  <c r="O32" i="11" s="1"/>
  <c r="M28" i="11"/>
  <c r="K28" i="11"/>
  <c r="I28" i="11"/>
  <c r="I32" i="11" s="1"/>
  <c r="J32" i="11" s="1"/>
  <c r="G28" i="11"/>
  <c r="E28" i="11"/>
  <c r="E32" i="11" s="1"/>
  <c r="F32" i="11" s="1"/>
  <c r="C28" i="11"/>
  <c r="B28" i="11"/>
  <c r="B32" i="11" s="1"/>
  <c r="P4" i="9"/>
  <c r="P5" i="9"/>
  <c r="P6" i="9"/>
  <c r="P7" i="9"/>
  <c r="P8" i="9"/>
  <c r="P9" i="9"/>
  <c r="P10" i="9"/>
  <c r="P11" i="9"/>
  <c r="P12" i="9"/>
  <c r="P13" i="9"/>
  <c r="P15" i="9"/>
  <c r="P3" i="9"/>
  <c r="N4" i="9"/>
  <c r="N5" i="9"/>
  <c r="N6" i="9"/>
  <c r="N7" i="9"/>
  <c r="N8" i="9"/>
  <c r="N9" i="9"/>
  <c r="N10" i="9"/>
  <c r="N11" i="9"/>
  <c r="N12" i="9"/>
  <c r="N13" i="9"/>
  <c r="N15" i="9"/>
  <c r="N3" i="9"/>
  <c r="L4" i="9"/>
  <c r="L5" i="9"/>
  <c r="L6" i="9"/>
  <c r="L7" i="9"/>
  <c r="L8" i="9"/>
  <c r="L9" i="9"/>
  <c r="L10" i="9"/>
  <c r="L11" i="9"/>
  <c r="L12" i="9"/>
  <c r="L13" i="9"/>
  <c r="L15" i="9"/>
  <c r="L3" i="9"/>
  <c r="J4" i="9"/>
  <c r="J5" i="9"/>
  <c r="J7" i="9"/>
  <c r="J8" i="9"/>
  <c r="J10" i="9"/>
  <c r="J11" i="9"/>
  <c r="J12" i="9"/>
  <c r="J13" i="9"/>
  <c r="J3" i="9"/>
  <c r="H4" i="9"/>
  <c r="H5" i="9"/>
  <c r="H7" i="9"/>
  <c r="H8" i="9"/>
  <c r="H10" i="9"/>
  <c r="H11" i="9"/>
  <c r="H12" i="9"/>
  <c r="H13" i="9"/>
  <c r="H3" i="9"/>
  <c r="F4" i="9"/>
  <c r="F5" i="9"/>
  <c r="F6" i="9"/>
  <c r="F7" i="9"/>
  <c r="F8" i="9"/>
  <c r="F9" i="9"/>
  <c r="F10" i="9"/>
  <c r="F11" i="9"/>
  <c r="F12" i="9"/>
  <c r="F13" i="9"/>
  <c r="F15" i="9"/>
  <c r="F3" i="9"/>
  <c r="D4" i="9"/>
  <c r="D5" i="9"/>
  <c r="D6" i="9"/>
  <c r="D7" i="9"/>
  <c r="D8" i="9"/>
  <c r="D9" i="9"/>
  <c r="D10" i="9"/>
  <c r="D11" i="9"/>
  <c r="D12" i="9"/>
  <c r="D13" i="9"/>
  <c r="D15" i="9"/>
  <c r="D3" i="9"/>
  <c r="I14" i="9"/>
  <c r="G14" i="9"/>
  <c r="O14" i="9"/>
  <c r="P14" i="9" s="1"/>
  <c r="M14" i="9"/>
  <c r="K14" i="9"/>
  <c r="E14" i="9"/>
  <c r="F14" i="9" s="1"/>
  <c r="C14" i="9"/>
  <c r="D14" i="9" s="1"/>
  <c r="B14" i="9"/>
  <c r="J4" i="7"/>
  <c r="J5" i="7"/>
  <c r="J7" i="7"/>
  <c r="J8" i="7"/>
  <c r="J10" i="7"/>
  <c r="J11" i="7"/>
  <c r="J13" i="7"/>
  <c r="J14" i="7"/>
  <c r="J15" i="7"/>
  <c r="J16" i="7"/>
  <c r="J17" i="7"/>
  <c r="J18" i="7"/>
  <c r="J19" i="7"/>
  <c r="J20" i="7"/>
  <c r="J21" i="7"/>
  <c r="J22" i="7"/>
  <c r="J24" i="7"/>
  <c r="J3" i="7"/>
  <c r="H4" i="7"/>
  <c r="H5" i="7"/>
  <c r="H7" i="7"/>
  <c r="H8" i="7"/>
  <c r="H10" i="7"/>
  <c r="H11" i="7"/>
  <c r="H13" i="7"/>
  <c r="H14" i="7"/>
  <c r="H15" i="7"/>
  <c r="H16" i="7"/>
  <c r="H17" i="7"/>
  <c r="H18" i="7"/>
  <c r="H19" i="7"/>
  <c r="H20" i="7"/>
  <c r="H21" i="7"/>
  <c r="H22" i="7"/>
  <c r="H24" i="7"/>
  <c r="H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4" i="7"/>
  <c r="P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4" i="7"/>
  <c r="N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4" i="7"/>
  <c r="L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4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4" i="7"/>
  <c r="D3" i="7"/>
  <c r="E23" i="7"/>
  <c r="G23" i="7"/>
  <c r="I23" i="7"/>
  <c r="K23" i="7"/>
  <c r="M23" i="7"/>
  <c r="O23" i="7"/>
  <c r="C23" i="7"/>
  <c r="B23" i="7"/>
  <c r="P31" i="13" l="1"/>
  <c r="O36" i="13"/>
  <c r="P36" i="13" s="1"/>
  <c r="D23" i="7"/>
  <c r="N14" i="9"/>
  <c r="L28" i="11"/>
  <c r="K32" i="11"/>
  <c r="L32" i="11" s="1"/>
  <c r="N28" i="11"/>
  <c r="M32" i="11"/>
  <c r="N32" i="11" s="1"/>
  <c r="N23" i="7"/>
  <c r="H14" i="9"/>
  <c r="P32" i="11"/>
  <c r="F36" i="13"/>
  <c r="F29" i="15"/>
  <c r="H23" i="7"/>
  <c r="G25" i="7"/>
  <c r="H25" i="7" s="1"/>
  <c r="P23" i="7"/>
  <c r="H29" i="15"/>
  <c r="J23" i="7"/>
  <c r="I25" i="7"/>
  <c r="J25" i="7" s="1"/>
  <c r="D28" i="11"/>
  <c r="C32" i="11"/>
  <c r="D32" i="11" s="1"/>
  <c r="J31" i="13"/>
  <c r="I36" i="13"/>
  <c r="J36" i="13" s="1"/>
  <c r="J29" i="15"/>
  <c r="L31" i="13"/>
  <c r="K36" i="13"/>
  <c r="L36" i="13" s="1"/>
  <c r="N14" i="17"/>
  <c r="B16" i="17"/>
  <c r="H28" i="11"/>
  <c r="G32" i="11"/>
  <c r="H32" i="11" s="1"/>
  <c r="N31" i="13"/>
  <c r="M36" i="13"/>
  <c r="N36" i="13" s="1"/>
  <c r="D14" i="17"/>
  <c r="H14" i="17"/>
  <c r="J14" i="17"/>
  <c r="L14" i="17"/>
  <c r="F14" i="17"/>
  <c r="P14" i="17"/>
  <c r="F31" i="13"/>
  <c r="H31" i="13"/>
  <c r="D31" i="13"/>
  <c r="J28" i="11"/>
  <c r="L23" i="7"/>
  <c r="J14" i="9"/>
  <c r="P28" i="11"/>
  <c r="F23" i="7"/>
  <c r="F28" i="11"/>
  <c r="D29" i="15"/>
  <c r="L14" i="9"/>
  <c r="J4" i="5"/>
  <c r="J5" i="5"/>
  <c r="J6" i="5"/>
  <c r="J7" i="5"/>
  <c r="J9" i="5"/>
  <c r="J10" i="5"/>
  <c r="J12" i="5"/>
  <c r="J14" i="5"/>
  <c r="J15" i="5"/>
  <c r="J17" i="5"/>
  <c r="J18" i="5"/>
  <c r="J19" i="5"/>
  <c r="J20" i="5"/>
  <c r="J22" i="5"/>
  <c r="J23" i="5"/>
  <c r="J24" i="5"/>
  <c r="J25" i="5"/>
  <c r="J26" i="5"/>
  <c r="J27" i="5"/>
  <c r="J29" i="5"/>
  <c r="J32" i="5"/>
  <c r="J3" i="5"/>
  <c r="H4" i="5"/>
  <c r="H5" i="5"/>
  <c r="H6" i="5"/>
  <c r="H7" i="5"/>
  <c r="H9" i="5"/>
  <c r="H10" i="5"/>
  <c r="H12" i="5"/>
  <c r="H14" i="5"/>
  <c r="H15" i="5"/>
  <c r="H17" i="5"/>
  <c r="H18" i="5"/>
  <c r="H19" i="5"/>
  <c r="H20" i="5"/>
  <c r="H22" i="5"/>
  <c r="H23" i="5"/>
  <c r="H24" i="5"/>
  <c r="H25" i="5"/>
  <c r="H26" i="5"/>
  <c r="H27" i="5"/>
  <c r="H29" i="5"/>
  <c r="H32" i="5"/>
  <c r="H3" i="5"/>
  <c r="I30" i="5"/>
  <c r="G3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2" i="5"/>
  <c r="P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2" i="5"/>
  <c r="N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2" i="5"/>
  <c r="L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2" i="5"/>
  <c r="F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2" i="5"/>
  <c r="D3" i="5"/>
  <c r="O30" i="5"/>
  <c r="M30" i="5"/>
  <c r="N30" i="5" s="1"/>
  <c r="K30" i="5"/>
  <c r="E30" i="5"/>
  <c r="C30" i="5"/>
  <c r="B30" i="5"/>
  <c r="P16" i="17" l="1"/>
  <c r="J16" i="17"/>
  <c r="N16" i="17"/>
  <c r="L16" i="17"/>
  <c r="H16" i="17"/>
  <c r="F16" i="17"/>
  <c r="D16" i="17"/>
  <c r="J30" i="5"/>
  <c r="D30" i="5"/>
  <c r="H30" i="5"/>
  <c r="F30" i="5"/>
  <c r="L30" i="5"/>
  <c r="P30" i="5"/>
  <c r="J4" i="3"/>
  <c r="J5" i="3"/>
  <c r="J6" i="3"/>
  <c r="J7" i="3"/>
  <c r="J9" i="3"/>
  <c r="J10" i="3"/>
  <c r="J11" i="3"/>
  <c r="J12" i="3"/>
  <c r="J14" i="3"/>
  <c r="J15" i="3"/>
  <c r="J17" i="3"/>
  <c r="J18" i="3"/>
  <c r="J19" i="3"/>
  <c r="J20" i="3"/>
  <c r="J22" i="3"/>
  <c r="J23" i="3"/>
  <c r="J24" i="3"/>
  <c r="J25" i="3"/>
  <c r="J26" i="3"/>
  <c r="J27" i="3"/>
  <c r="J30" i="3"/>
  <c r="J3" i="3"/>
  <c r="I29" i="3"/>
  <c r="H4" i="3"/>
  <c r="H5" i="3"/>
  <c r="H6" i="3"/>
  <c r="H7" i="3"/>
  <c r="H9" i="3"/>
  <c r="H10" i="3"/>
  <c r="H12" i="3"/>
  <c r="H14" i="3"/>
  <c r="H15" i="3"/>
  <c r="H17" i="3"/>
  <c r="H18" i="3"/>
  <c r="H19" i="3"/>
  <c r="H20" i="3"/>
  <c r="H22" i="3"/>
  <c r="H23" i="3"/>
  <c r="H24" i="3"/>
  <c r="H25" i="3"/>
  <c r="H26" i="3"/>
  <c r="H27" i="3"/>
  <c r="H30" i="3"/>
  <c r="H3" i="3"/>
  <c r="G29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30" i="3"/>
  <c r="P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30" i="3"/>
  <c r="N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3" i="3"/>
  <c r="C29" i="3"/>
  <c r="M29" i="3"/>
  <c r="N29" i="3" s="1"/>
  <c r="O29" i="3"/>
  <c r="K29" i="3"/>
  <c r="E29" i="3"/>
  <c r="B29" i="3"/>
  <c r="J29" i="3" s="1"/>
  <c r="H29" i="3" l="1"/>
  <c r="L29" i="3"/>
  <c r="P29" i="3"/>
  <c r="F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29" authorId="0" shapeId="0" xr:uid="{00000000-0006-0000-0400-00000A00000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Updated, wrong p% included in previous version (6,0%)
</t>
        </r>
      </text>
    </comment>
  </commentList>
</comments>
</file>

<file path=xl/sharedStrings.xml><?xml version="1.0" encoding="utf-8"?>
<sst xmlns="http://schemas.openxmlformats.org/spreadsheetml/2006/main" count="2750" uniqueCount="960">
  <si>
    <t>Go To Sheet</t>
  </si>
  <si>
    <t>Sheet Name</t>
  </si>
  <si>
    <t>Table Legend</t>
  </si>
  <si>
    <t>Link</t>
  </si>
  <si>
    <t>Table of Contents</t>
  </si>
  <si>
    <t>Salmonella poultry</t>
  </si>
  <si>
    <r>
      <t xml:space="preserve">Presumptive ESBL-/AmpC-/CP-producing </t>
    </r>
    <r>
      <rPr>
        <i/>
        <sz val="10"/>
        <color theme="1"/>
        <rFont val="Trebuchet MS"/>
        <family val="2"/>
      </rPr>
      <t>Salmonella</t>
    </r>
    <r>
      <rPr>
        <sz val="11"/>
        <color theme="1"/>
        <rFont val="Calibri"/>
        <family val="2"/>
        <scheme val="minor"/>
      </rPr>
      <t xml:space="preserve"> spp. isolates from broilers, fattening turkeys, laying hens and imported broiler meat (sampled at border control posts) collected within the routine monitoring and subjected to supplementary testing (Panel 2) in 2022 </t>
    </r>
  </si>
  <si>
    <t>Indicator E. coli broiler</t>
  </si>
  <si>
    <r>
      <t xml:space="preserve">Presumptive ESBL-/AmpC-/CP-producing indicator </t>
    </r>
    <r>
      <rPr>
        <i/>
        <sz val="10"/>
        <color theme="1"/>
        <rFont val="Trebuchet MS"/>
        <family val="2"/>
      </rPr>
      <t>Escherichia coli</t>
    </r>
    <r>
      <rPr>
        <sz val="11"/>
        <color theme="1"/>
        <rFont val="Calibri"/>
        <family val="2"/>
        <scheme val="minor"/>
      </rPr>
      <t xml:space="preserve"> isolates from broiler flocks collected within the routine monitoring and subjected to supplementary testing (Panel 2) in 2022 </t>
    </r>
  </si>
  <si>
    <t>Indicator E. coli fattening turkey</t>
  </si>
  <si>
    <r>
      <t xml:space="preserve">Presumptive ESBL-/AmpC/CP-producing indicator </t>
    </r>
    <r>
      <rPr>
        <i/>
        <sz val="10"/>
        <color theme="1"/>
        <rFont val="Trebuchet MS"/>
        <family val="2"/>
      </rPr>
      <t>Escherichia coli</t>
    </r>
    <r>
      <rPr>
        <sz val="11"/>
        <color theme="1"/>
        <rFont val="Calibri"/>
        <family val="2"/>
        <scheme val="minor"/>
      </rPr>
      <t xml:space="preserve"> isolates from fattening turkeys collected within the routine monitoring and subjected to supplementary testing (Panel 2) in 2022 </t>
    </r>
  </si>
  <si>
    <t>Prevalence broiler meat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</si>
  <si>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broiler meat collected within the specific monitoring of ESBL-/AmpC-/CP-producers in 2022 </t>
    </r>
  </si>
  <si>
    <t>Occurrence broiler meat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</si>
  <si>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broiler meat collected within the specific monitoring of ESBL-/AmpC-/CP-producers in 2022 </t>
    </r>
  </si>
  <si>
    <t>Prevalence broilers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</si>
  <si>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broilers collected within the specific monitoring of ESBL-/AmpC-/CP-producers in 2022 </t>
    </r>
  </si>
  <si>
    <t>Occurrence broilers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</si>
  <si>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broilers collected within the specific monitoring of ESBL-/AmpC-/CP-producers in 2022 </t>
    </r>
  </si>
  <si>
    <t>Prevalence turkey meat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</si>
  <si>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in turkey meat collected within the specific monitoring of ESBL-/AmpC-/CP-producers in 2022 </t>
    </r>
  </si>
  <si>
    <t>Occurrence turkey meat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</si>
  <si>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in turkey meat collected within the specific monitoring of ESBL-/AmpC-/CP-producers in 2022 </t>
    </r>
  </si>
  <si>
    <t>Prevalence fattening turkeys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</si>
  <si>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fattening turkeys collected within the specific monitoring of ESBL-/AmpC-/CP-producers in 2022</t>
    </r>
  </si>
  <si>
    <t>Occurrence fattening turkeys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</si>
  <si>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fattening turkeys collected within the specific monitoring of ESBL-/AmpC-/CP-producers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2022</t>
    </r>
  </si>
  <si>
    <t>Salmonella fattening pigs and cattle</t>
  </si>
  <si>
    <r>
      <t xml:space="preserve">Presumptive ESBL-/AmpC-/CP-producing </t>
    </r>
    <r>
      <rPr>
        <i/>
        <sz val="11"/>
        <color theme="1"/>
        <rFont val="Calibri"/>
        <family val="2"/>
      </rPr>
      <t>Salmonella</t>
    </r>
    <r>
      <rPr>
        <sz val="11"/>
        <color theme="1"/>
        <rFont val="Calibri"/>
        <family val="2"/>
      </rPr>
      <t xml:space="preserve"> spp. isolates from fattening pigs and cattle under 1 year collected within the routine monitoring and subjected to supplementary testing (Panel 2) in 2023 </t>
    </r>
  </si>
  <si>
    <t>Indicator E. coli fattening pigs</t>
  </si>
  <si>
    <r>
      <t xml:space="preserve">Presumptive ESBL-/AmpC-/CP-producing indicator </t>
    </r>
    <r>
      <rPr>
        <i/>
        <sz val="11"/>
        <color theme="1"/>
        <rFont val="Calibri"/>
        <family val="2"/>
      </rPr>
      <t>Escherichia coli</t>
    </r>
    <r>
      <rPr>
        <sz val="11"/>
        <color theme="1"/>
        <rFont val="Calibri"/>
        <family val="2"/>
      </rPr>
      <t xml:space="preserve"> isolates from fattening pigs collected within the routine monitoring and subjected to supplementary testing (Panel 2) in 2023 </t>
    </r>
  </si>
  <si>
    <t>Indicator E. coli cattle</t>
  </si>
  <si>
    <r>
      <t xml:space="preserve">Presumptive ESBL-/AmpC-/CP-producing indicator </t>
    </r>
    <r>
      <rPr>
        <i/>
        <sz val="11"/>
        <color theme="1"/>
        <rFont val="Calibri"/>
        <family val="2"/>
      </rPr>
      <t>Escherichia coli</t>
    </r>
    <r>
      <rPr>
        <sz val="11"/>
        <color theme="1"/>
        <rFont val="Calibri"/>
        <family val="2"/>
      </rPr>
      <t xml:space="preserve"> isolates from cattle under 1 year collected within the routine monitoring and subjected to supplementary testing (Panel 2) in 2023 </t>
    </r>
  </si>
  <si>
    <t>Prevalence pig meat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</si>
  <si>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in pig meat at retail collected within the specific monitoring of ESBL-/AmpC-/CP-producers in 2023 </t>
    </r>
  </si>
  <si>
    <t>Occurrence pig meat</t>
  </si>
  <si>
    <t xml:space="preserve">Occurrence of presumptive ESBL-/AmpC-/CP-producing Escherichia coli isolates in pig meat at retail collected within the specific monitoring of ESBL-/AmpC-/CP-producers in 2023 </t>
  </si>
  <si>
    <t>Prevalence fattening pigs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</si>
  <si>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fattening pigs collected within the specific monitoring of ESBL-/AmpC-/CP-producers in 2023</t>
    </r>
  </si>
  <si>
    <t>Occurrence fattening pigs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</si>
  <si>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fattening pigs collected within the specific monitoring of ESBL-/AmpC-/CP-producers in 2023 </t>
    </r>
  </si>
  <si>
    <t>Prevalence cattle meat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</si>
  <si>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in cattle meat at retail collected within the specific monitoring of ESBL-/AmpC-/CP-producers in 2023 </t>
    </r>
  </si>
  <si>
    <t>Occurrence cattle meat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</si>
  <si>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in cattle meat at retail collected within the specific monitoring of ESBL-/AmpC-/CP-producers in 2023</t>
    </r>
  </si>
  <si>
    <t>Prevalence cattle &lt;1 year</t>
  </si>
  <si>
    <r>
      <t xml:space="preserve">Prevalence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cattle under 1 year collected within the specific monitoring of ESBL-/AmpC-/CP-producers in 2023 </t>
    </r>
  </si>
  <si>
    <t>Occurrence cattle &lt;1 year</t>
  </si>
  <si>
    <r>
      <t xml:space="preserve">Occurrence of presumptive ESBL-/AmpC-/CP-producing </t>
    </r>
    <r>
      <rPr>
        <i/>
        <sz val="11"/>
        <color theme="1"/>
        <rFont val="Calibri"/>
        <family val="2"/>
        <scheme val="minor"/>
      </rPr>
      <t>Escherichia coli</t>
    </r>
    <r>
      <rPr>
        <sz val="11"/>
        <color theme="1"/>
        <rFont val="Calibri"/>
        <family val="2"/>
        <scheme val="minor"/>
      </rPr>
      <t xml:space="preserve"> isolates from cattle under 1 year collected within the specific monitoring of ESBL-/AmpC-/CP-producers in 2023 </t>
    </r>
  </si>
  <si>
    <t>Samples investigated CP-producers</t>
  </si>
  <si>
    <r>
      <t xml:space="preserve">Number of samples investigated and number of presumptive carbapenemase-producing </t>
    </r>
    <r>
      <rPr>
        <i/>
        <sz val="11"/>
        <color theme="1"/>
        <rFont val="Calibri"/>
        <family val="2"/>
      </rPr>
      <t>Escherichia coli</t>
    </r>
    <r>
      <rPr>
        <sz val="11"/>
        <color theme="1"/>
        <rFont val="Calibri"/>
        <family val="2"/>
      </rPr>
      <t xml:space="preserve"> in the specific monitoring of CP-producers in 2022-2023</t>
    </r>
  </si>
  <si>
    <t>Occurrence retail meat and imported meat</t>
  </si>
  <si>
    <r>
      <t xml:space="preserve">Occurrence and prevalence of ESBL-/AmpC-/CP-producing </t>
    </r>
    <r>
      <rPr>
        <i/>
        <sz val="11"/>
        <color theme="1"/>
        <rFont val="Calibri"/>
        <family val="2"/>
      </rPr>
      <t>Escherichia coli</t>
    </r>
    <r>
      <rPr>
        <sz val="11"/>
        <color theme="1"/>
        <rFont val="Calibri"/>
        <family val="2"/>
      </rPr>
      <t xml:space="preserve"> in samples from pig meat, cattle meat, broiler meat and turkey meat sampled at retail and border control posts, EU MSs and non-MSs, 2022-2023</t>
    </r>
  </si>
  <si>
    <t>Abbreviations</t>
  </si>
  <si>
    <t>Description</t>
  </si>
  <si>
    <t>ESBL</t>
  </si>
  <si>
    <t xml:space="preserve">extended-spectrum betalactamase; </t>
  </si>
  <si>
    <t>CAZ</t>
  </si>
  <si>
    <t>ceftazidime</t>
  </si>
  <si>
    <t>CI</t>
  </si>
  <si>
    <t>Confidence interval</t>
  </si>
  <si>
    <t>CLA</t>
  </si>
  <si>
    <t>clavulanate</t>
  </si>
  <si>
    <t>CP</t>
  </si>
  <si>
    <t>carbapenemase</t>
  </si>
  <si>
    <t>CTX</t>
  </si>
  <si>
    <t>cefotaxime</t>
  </si>
  <si>
    <t>MSs</t>
  </si>
  <si>
    <t>Member States</t>
  </si>
  <si>
    <t>n</t>
  </si>
  <si>
    <t>number of isolates with the phenotype </t>
  </si>
  <si>
    <r>
      <t>n</t>
    </r>
    <r>
      <rPr>
        <vertAlign val="subscript"/>
        <sz val="11"/>
        <color theme="1"/>
        <rFont val="Calibri"/>
        <family val="2"/>
        <scheme val="minor"/>
      </rPr>
      <t>CP</t>
    </r>
  </si>
  <si>
    <r>
      <t>n</t>
    </r>
    <r>
      <rPr>
        <vertAlign val="subscript"/>
        <sz val="11"/>
        <color rgb="FF22294D"/>
        <rFont val="Calibri"/>
        <family val="2"/>
        <scheme val="minor"/>
      </rPr>
      <t>CP</t>
    </r>
    <r>
      <rPr>
        <sz val="11"/>
        <color rgb="FF22294D"/>
        <rFont val="Calibri"/>
        <family val="2"/>
        <scheme val="minor"/>
      </rPr>
      <t>: number of CP positive isolates</t>
    </r>
  </si>
  <si>
    <t>non-MSs</t>
  </si>
  <si>
    <t>non-Member States</t>
  </si>
  <si>
    <t>NP1</t>
  </si>
  <si>
    <t>total number of isolates tested with panel 1</t>
  </si>
  <si>
    <t>NP2</t>
  </si>
  <si>
    <t>total number of isolates tested with Panel 2 or whole genome sequencing</t>
  </si>
  <si>
    <r>
      <t>N</t>
    </r>
    <r>
      <rPr>
        <vertAlign val="subscript"/>
        <sz val="11"/>
        <color theme="1"/>
        <rFont val="Calibri"/>
        <family val="2"/>
        <scheme val="minor"/>
      </rPr>
      <t>S</t>
    </r>
  </si>
  <si>
    <t xml:space="preserve">number of samples collected at slaughterhouse (fattening pigs, cattle under one year, broilers, fattening turkeys) or retail (pig meat, cattle meat, broiler meat and turkey meat); </t>
  </si>
  <si>
    <t>O%</t>
  </si>
  <si>
    <t>% of isolates from the total number of isolates tested with Panel 2</t>
  </si>
  <si>
    <t>P%</t>
  </si>
  <si>
    <t>% of isolates from the total number of smaples tested</t>
  </si>
  <si>
    <t>SYN</t>
  </si>
  <si>
    <t>synergy</t>
  </si>
  <si>
    <t>%</t>
  </si>
  <si>
    <t>percentage of isolates from the total number tested</t>
  </si>
  <si>
    <t>Note</t>
  </si>
  <si>
    <t>(a)</t>
  </si>
  <si>
    <r>
      <t xml:space="preserve">According to EUCAST guidelines (EUCAST, 2019), only isolates showing MIC &gt;1 mg/L for CTX and/or CAZ were considered (see Appendix </t>
    </r>
    <r>
      <rPr>
        <u/>
        <sz val="11"/>
        <color rgb="FF008080"/>
        <rFont val="Calibri"/>
        <family val="2"/>
        <scheme val="minor"/>
      </rPr>
      <t>B)</t>
    </r>
  </si>
  <si>
    <t>(b)</t>
  </si>
  <si>
    <t>All isoaltes showing clavulanate synergy with CTX or CAZ or both, suggesting ESBL phenotype, or reported presence of ESBL-encoding gene.</t>
  </si>
  <si>
    <t>( c)</t>
  </si>
  <si>
    <t>Isolates showing synergy with CTX only, suggesting presence of ESBL with cefotaximase activity.</t>
  </si>
  <si>
    <t>(d)</t>
  </si>
  <si>
    <t>Isolates showing synergy with CAZ only, suggesting presence of ESBL with ceftazidimase activity.</t>
  </si>
  <si>
    <t>( e)</t>
  </si>
  <si>
    <t>Isolates with cefoxitin resistance, suggesting AmpC phenotype, or reported presence of AmpC-encoding gene.</t>
  </si>
  <si>
    <t>(f)</t>
  </si>
  <si>
    <t>Isolates showing synergy with CTX or CAZ and cefoxitin resistance, suggesting ESBL- and AmpC enzymes in the same isolates, or both ESBL- and AmpC-encoding genes reported.</t>
  </si>
  <si>
    <t>(g)</t>
  </si>
  <si>
    <t>Isolates with meropenem resistance or CP-encoding gene reported.</t>
  </si>
  <si>
    <t>Country</t>
  </si>
  <si>
    <r>
      <t>NP2</t>
    </r>
    <r>
      <rPr>
        <b/>
        <vertAlign val="superscript"/>
        <sz val="11"/>
        <color theme="1"/>
        <rFont val="Calibri"/>
        <family val="2"/>
        <scheme val="minor"/>
      </rPr>
      <t>(a)</t>
    </r>
  </si>
  <si>
    <t>ESBL and/or AmpC</t>
  </si>
  <si>
    <r>
      <t>ESBL</t>
    </r>
    <r>
      <rPr>
        <b/>
        <vertAlign val="superscript"/>
        <sz val="11"/>
        <color theme="1"/>
        <rFont val="Calibri"/>
        <family val="2"/>
        <scheme val="minor"/>
      </rPr>
      <t>(b)</t>
    </r>
  </si>
  <si>
    <r>
      <t xml:space="preserve">ESBL only CLA/CTX SYN </t>
    </r>
    <r>
      <rPr>
        <b/>
        <vertAlign val="superscript"/>
        <sz val="11"/>
        <color theme="1"/>
        <rFont val="Calibri"/>
        <family val="2"/>
        <scheme val="minor"/>
      </rPr>
      <t>(c)</t>
    </r>
  </si>
  <si>
    <r>
      <t>ESBL only CLA/CAZ SYN</t>
    </r>
    <r>
      <rPr>
        <b/>
        <vertAlign val="superscript"/>
        <sz val="11"/>
        <color theme="1"/>
        <rFont val="Calibri"/>
        <family val="2"/>
        <scheme val="minor"/>
      </rPr>
      <t>(d)</t>
    </r>
  </si>
  <si>
    <r>
      <t>AmpC</t>
    </r>
    <r>
      <rPr>
        <b/>
        <vertAlign val="superscript"/>
        <sz val="11"/>
        <color theme="1"/>
        <rFont val="Calibri"/>
        <family val="2"/>
        <scheme val="minor"/>
      </rPr>
      <t>(e)</t>
    </r>
  </si>
  <si>
    <r>
      <t>ESBL + AmpC</t>
    </r>
    <r>
      <rPr>
        <b/>
        <vertAlign val="superscript"/>
        <sz val="11"/>
        <color theme="1"/>
        <rFont val="Calibri"/>
        <family val="2"/>
        <scheme val="minor"/>
      </rPr>
      <t>(f)</t>
    </r>
  </si>
  <si>
    <r>
      <t>CP</t>
    </r>
    <r>
      <rPr>
        <b/>
        <vertAlign val="superscript"/>
        <sz val="11"/>
        <color theme="1"/>
        <rFont val="Calibri"/>
        <family val="2"/>
        <scheme val="minor"/>
      </rPr>
      <t>(g)</t>
    </r>
  </si>
  <si>
    <r>
      <t>%</t>
    </r>
    <r>
      <rPr>
        <b/>
        <vertAlign val="superscript"/>
        <sz val="11"/>
        <color theme="1"/>
        <rFont val="Calibri"/>
        <family val="2"/>
        <scheme val="minor"/>
      </rPr>
      <t>(h)</t>
    </r>
  </si>
  <si>
    <t>Gallus gallus (fowl) - laying hens</t>
  </si>
  <si>
    <t>Italy *</t>
  </si>
  <si>
    <t>Luxembourg</t>
  </si>
  <si>
    <t>Total (2 MSs)</t>
  </si>
  <si>
    <t>Gallus gallus (fowl) - broilers</t>
  </si>
  <si>
    <t>Hungary</t>
  </si>
  <si>
    <t>Italy*</t>
  </si>
  <si>
    <t>Malta</t>
  </si>
  <si>
    <t>Netherlands*</t>
  </si>
  <si>
    <t>Poland</t>
  </si>
  <si>
    <t>Total (5 MSs)</t>
  </si>
  <si>
    <t>Turkeys - fattening flocks</t>
  </si>
  <si>
    <t>Total (1 MS)</t>
  </si>
  <si>
    <t>Meat from broiler - fresh, sampled at border control post</t>
  </si>
  <si>
    <t>Germany*</t>
  </si>
  <si>
    <t>Ireland</t>
  </si>
  <si>
    <t>Spain</t>
  </si>
  <si>
    <t>Total (4 MSs)</t>
  </si>
  <si>
    <t>Meat from turkey - fresh, sampled at border control post</t>
  </si>
  <si>
    <t>*Countries using WGS to identify ESBL-, AmpC- and/or CP-encoding genes</t>
  </si>
  <si>
    <t>Belgium</t>
  </si>
  <si>
    <t>Cyprus</t>
  </si>
  <si>
    <t>Denmark</t>
  </si>
  <si>
    <t>Estonia</t>
  </si>
  <si>
    <t>Greece</t>
  </si>
  <si>
    <t>Portugal</t>
  </si>
  <si>
    <t>Romania</t>
  </si>
  <si>
    <t>Total (14 MSs)</t>
  </si>
  <si>
    <t>Switzerland</t>
  </si>
  <si>
    <t>Total MSs and non-MS</t>
  </si>
  <si>
    <t>Total (6 MSs)</t>
  </si>
  <si>
    <t>Norway</t>
  </si>
  <si>
    <t>Ns</t>
  </si>
  <si>
    <t>%P</t>
  </si>
  <si>
    <t>95% CI</t>
  </si>
  <si>
    <t>Austria</t>
  </si>
  <si>
    <t xml:space="preserve">19.8 - 29.2 </t>
  </si>
  <si>
    <t xml:space="preserve">13.3 - 21.6 </t>
  </si>
  <si>
    <t>3.7 - 9.0</t>
  </si>
  <si>
    <t>1.6 - 5.8</t>
  </si>
  <si>
    <t xml:space="preserve">4.1 - 9.7 </t>
  </si>
  <si>
    <t xml:space="preserve">0.1 - 2.1 </t>
  </si>
  <si>
    <t xml:space="preserve">0 - 1.1 </t>
  </si>
  <si>
    <t xml:space="preserve">51.0 - 62.3 </t>
  </si>
  <si>
    <t xml:space="preserve">48.5 - 59.8 </t>
  </si>
  <si>
    <t>1.1 - 5.0</t>
  </si>
  <si>
    <t xml:space="preserve">0.5 - 3.7 </t>
  </si>
  <si>
    <t xml:space="preserve">0.2 - 2.8 </t>
  </si>
  <si>
    <t xml:space="preserve">0 - 1.2 </t>
  </si>
  <si>
    <t>Bulgaria</t>
  </si>
  <si>
    <t xml:space="preserve">35.3 - 51.7 </t>
  </si>
  <si>
    <t xml:space="preserve">18.0 - 32.4 </t>
  </si>
  <si>
    <t>0.7 - 6.7</t>
  </si>
  <si>
    <t>0.2 - 4.7</t>
  </si>
  <si>
    <t xml:space="preserve">9.4 - 21.4 </t>
  </si>
  <si>
    <t xml:space="preserve">1.5 - 8.5 </t>
  </si>
  <si>
    <t xml:space="preserve">0 - 2.4 </t>
  </si>
  <si>
    <t>Croatia</t>
  </si>
  <si>
    <t xml:space="preserve">23.5 - 40.0 </t>
  </si>
  <si>
    <t xml:space="preserve">18.7 - 34.3 </t>
  </si>
  <si>
    <t>2.7 - 11.7</t>
  </si>
  <si>
    <t>0 - 2.8</t>
  </si>
  <si>
    <t xml:space="preserve">2.2 - 10.7 </t>
  </si>
  <si>
    <t xml:space="preserve">0 - 2.8 </t>
  </si>
  <si>
    <t xml:space="preserve">23.1 - 38.2 </t>
  </si>
  <si>
    <t xml:space="preserve">18.9 - 33.4 </t>
  </si>
  <si>
    <t>1.5 - 8.4</t>
  </si>
  <si>
    <t>0 - 2.4</t>
  </si>
  <si>
    <t xml:space="preserve">0.4 - 5.7 </t>
  </si>
  <si>
    <t xml:space="preserve">0.7 - 6.6 </t>
  </si>
  <si>
    <t>Czechia*</t>
  </si>
  <si>
    <t xml:space="preserve">23.0 - 33.5 </t>
  </si>
  <si>
    <t xml:space="preserve">18.6 - 28.6 </t>
  </si>
  <si>
    <t xml:space="preserve">2.9 - 8.2 </t>
  </si>
  <si>
    <t xml:space="preserve">0 - 1.9 </t>
  </si>
  <si>
    <t xml:space="preserve">1.8 - 5.9 </t>
  </si>
  <si>
    <t xml:space="preserve">1.0 - 4.4 </t>
  </si>
  <si>
    <t>0 - 1.6</t>
  </si>
  <si>
    <t xml:space="preserve">0.3 - 2.9 </t>
  </si>
  <si>
    <t xml:space="preserve">0 - 1 </t>
  </si>
  <si>
    <t xml:space="preserve">0 - 1.0 </t>
  </si>
  <si>
    <t xml:space="preserve">36.4 - 53.0 </t>
  </si>
  <si>
    <t xml:space="preserve">20.1 - 34.9 </t>
  </si>
  <si>
    <t>5.8 - 16.2</t>
  </si>
  <si>
    <t>0 - 2.5</t>
  </si>
  <si>
    <t xml:space="preserve">8.5 - 20.1 </t>
  </si>
  <si>
    <t xml:space="preserve">1.5 - 8.6 </t>
  </si>
  <si>
    <t xml:space="preserve">0 - 2.5 </t>
  </si>
  <si>
    <t>Finland*</t>
  </si>
  <si>
    <t xml:space="preserve">0.5 - 3.8 </t>
  </si>
  <si>
    <t>France</t>
  </si>
  <si>
    <t xml:space="preserve">6.4 - 13.0 </t>
  </si>
  <si>
    <t xml:space="preserve">3.1 - 8.3 </t>
  </si>
  <si>
    <t>0.3 - 3.1</t>
  </si>
  <si>
    <t>0 - 1.7</t>
  </si>
  <si>
    <t xml:space="preserve">1.9 - 6.4 </t>
  </si>
  <si>
    <t xml:space="preserve">0 - 1.7 </t>
  </si>
  <si>
    <t xml:space="preserve">28.7 - 37.4 </t>
  </si>
  <si>
    <t xml:space="preserve">27.1 - 35.7 </t>
  </si>
  <si>
    <t xml:space="preserve">0.7 - 3.3 </t>
  </si>
  <si>
    <t xml:space="preserve">0 - 0.8 </t>
  </si>
  <si>
    <t xml:space="preserve">55.6 - 66.9 </t>
  </si>
  <si>
    <t xml:space="preserve">40.9 - 52.5 </t>
  </si>
  <si>
    <t>17.1 - 26.8</t>
  </si>
  <si>
    <t>0.1 - 2.4</t>
  </si>
  <si>
    <t xml:space="preserve">8.3 - 15.9 </t>
  </si>
  <si>
    <t xml:space="preserve">1.4 - 5.6 </t>
  </si>
  <si>
    <t xml:space="preserve">5.2 - 11.7 </t>
  </si>
  <si>
    <t xml:space="preserve">4.4 - 10.5 </t>
  </si>
  <si>
    <t>0.4 - 3.4</t>
  </si>
  <si>
    <t xml:space="preserve">0.2 - 2.9 </t>
  </si>
  <si>
    <t xml:space="preserve">34.5 - 45.8 </t>
  </si>
  <si>
    <t xml:space="preserve">23.5 - 33.9 </t>
  </si>
  <si>
    <t xml:space="preserve">10.8 - 19.1 </t>
  </si>
  <si>
    <t>Latvia</t>
  </si>
  <si>
    <t xml:space="preserve">30.0 - 46.0 </t>
  </si>
  <si>
    <t xml:space="preserve">13.8 - 27.1 </t>
  </si>
  <si>
    <t>1.9 - 9.3</t>
  </si>
  <si>
    <t xml:space="preserve">12.1 - 24.9 </t>
  </si>
  <si>
    <t>Lithuania</t>
  </si>
  <si>
    <t xml:space="preserve">4.7 - 14.4 </t>
  </si>
  <si>
    <t xml:space="preserve">2.3 - 10.2 </t>
  </si>
  <si>
    <t>0 - 3.7</t>
  </si>
  <si>
    <t xml:space="preserve">1.1 - 7.6 </t>
  </si>
  <si>
    <t xml:space="preserve">32.4 - 59.3 </t>
  </si>
  <si>
    <t xml:space="preserve">30.7 - 57.6 </t>
  </si>
  <si>
    <t>0 - 9.4</t>
  </si>
  <si>
    <t>4.0 - 21.5</t>
  </si>
  <si>
    <t xml:space="preserve">0 - 9.4 </t>
  </si>
  <si>
    <t xml:space="preserve">0 - 6.3 </t>
  </si>
  <si>
    <t xml:space="preserve">27.1 - 42.9 </t>
  </si>
  <si>
    <t xml:space="preserve">24.0 - 39.4 </t>
  </si>
  <si>
    <t>2.8 - 11.1</t>
  </si>
  <si>
    <t xml:space="preserve">0.2 - 4.7 </t>
  </si>
  <si>
    <t xml:space="preserve">8.8 - 19.1 </t>
  </si>
  <si>
    <t xml:space="preserve">8.0 - 17.9 </t>
  </si>
  <si>
    <t xml:space="preserve">0.1 - 3.8 </t>
  </si>
  <si>
    <t xml:space="preserve">0 - 2 </t>
  </si>
  <si>
    <t xml:space="preserve">0 - 2.0 </t>
  </si>
  <si>
    <t xml:space="preserve">34.2 - 43.9 </t>
  </si>
  <si>
    <t xml:space="preserve">23.0 - 31.9 </t>
  </si>
  <si>
    <t>6.3 - 12.2</t>
  </si>
  <si>
    <t>0 - 0.9</t>
  </si>
  <si>
    <t xml:space="preserve">8.0 - 14.4 </t>
  </si>
  <si>
    <t xml:space="preserve">0.2 - 2.2 </t>
  </si>
  <si>
    <t xml:space="preserve">0 - 0.9 </t>
  </si>
  <si>
    <t xml:space="preserve">21.3 - 33.5 </t>
  </si>
  <si>
    <t xml:space="preserve">18.8 - 30.6 </t>
  </si>
  <si>
    <t>1.0 - 5.9</t>
  </si>
  <si>
    <t xml:space="preserve">0.3 - 4.0 </t>
  </si>
  <si>
    <t xml:space="preserve">0.3 - 4 </t>
  </si>
  <si>
    <t xml:space="preserve">34.1 - 45.4 </t>
  </si>
  <si>
    <t xml:space="preserve">20.0 - 30.0 </t>
  </si>
  <si>
    <t>1.8 - 6.4</t>
  </si>
  <si>
    <t>0 - 1.2</t>
  </si>
  <si>
    <t xml:space="preserve">10.5 - 18.6 </t>
  </si>
  <si>
    <t xml:space="preserve">0.1 - 2.4 </t>
  </si>
  <si>
    <t>Slovakia</t>
  </si>
  <si>
    <t xml:space="preserve">42.4 - 58.9 </t>
  </si>
  <si>
    <t xml:space="preserve">34.0 - 50.3 </t>
  </si>
  <si>
    <t>15.1 - 28.8</t>
  </si>
  <si>
    <t xml:space="preserve">4.2 - 13.6 </t>
  </si>
  <si>
    <t xml:space="preserve">0 - 3.7 </t>
  </si>
  <si>
    <t>Slovenia</t>
  </si>
  <si>
    <t xml:space="preserve">25.3 - 40.7 </t>
  </si>
  <si>
    <t xml:space="preserve">17.6 - 31.8 </t>
  </si>
  <si>
    <t>6.1 - 16.4</t>
  </si>
  <si>
    <t>0.7 - 6.6</t>
  </si>
  <si>
    <t xml:space="preserve">4.6 - 14.1 </t>
  </si>
  <si>
    <t xml:space="preserve">47.5 - 59.1 </t>
  </si>
  <si>
    <t xml:space="preserve">36.4 - 47.8 </t>
  </si>
  <si>
    <t>3.9 - 9.7</t>
  </si>
  <si>
    <t xml:space="preserve">5.7 - 12.4 </t>
  </si>
  <si>
    <t xml:space="preserve">1.2 - 5.2 </t>
  </si>
  <si>
    <t>Sweden*</t>
  </si>
  <si>
    <t xml:space="preserve">0.6 - 3.9 </t>
  </si>
  <si>
    <t>Total (26 MSs)</t>
  </si>
  <si>
    <t xml:space="preserve">28.5 - 30.7 </t>
  </si>
  <si>
    <t xml:space="preserve">21.9 - 24.0 </t>
  </si>
  <si>
    <t>5.3 - 6.7</t>
  </si>
  <si>
    <t>0.6 - 2.8</t>
  </si>
  <si>
    <t xml:space="preserve">5.4 - 6.6 </t>
  </si>
  <si>
    <t xml:space="preserve">0.7 - 1.2 </t>
  </si>
  <si>
    <t xml:space="preserve">0 - 0.1 </t>
  </si>
  <si>
    <t xml:space="preserve">12.6 - 21.3 </t>
  </si>
  <si>
    <t xml:space="preserve">10.6 - 18.8 </t>
  </si>
  <si>
    <t>2.3 - 7.1</t>
  </si>
  <si>
    <t>0.6 - 1.1</t>
  </si>
  <si>
    <t xml:space="preserve">0.7 - 4.2 </t>
  </si>
  <si>
    <t xml:space="preserve">0 - 1.8 </t>
  </si>
  <si>
    <t>Total non-MS (2 non-MSs)</t>
  </si>
  <si>
    <t>6.3 - 10.9</t>
  </si>
  <si>
    <t>5.3 - 9.6</t>
  </si>
  <si>
    <t>1.1 - 3.6</t>
  </si>
  <si>
    <t>0.1 - 1.4</t>
  </si>
  <si>
    <t>0.4 - 2.1</t>
  </si>
  <si>
    <t>0 - 0.6</t>
  </si>
  <si>
    <t>Total MSs and non-MSs</t>
  </si>
  <si>
    <t>26.7 - 28.8</t>
  </si>
  <si>
    <t>20.6 - 22.6</t>
  </si>
  <si>
    <t>4.9 - 6.2</t>
  </si>
  <si>
    <t>5.1 - 6.1</t>
  </si>
  <si>
    <t>0.7 - 1.1</t>
  </si>
  <si>
    <t>0 - 0.1</t>
  </si>
  <si>
    <t xml:space="preserve">7.4 - 14.7 </t>
  </si>
  <si>
    <t xml:space="preserve">6.5 - 13.5 </t>
  </si>
  <si>
    <t>0.9 - 4.7</t>
  </si>
  <si>
    <t>1.2 - 5.2</t>
  </si>
  <si>
    <t xml:space="preserve">66.2 - 77.7 </t>
  </si>
  <si>
    <t xml:space="preserve">61.1 - 73.1 </t>
  </si>
  <si>
    <t>3.4 - 9.8</t>
  </si>
  <si>
    <t>3.1 - 9.3</t>
  </si>
  <si>
    <t xml:space="preserve">0.4 - 4.1 </t>
  </si>
  <si>
    <t xml:space="preserve">1.4 - 6.3 </t>
  </si>
  <si>
    <t xml:space="preserve">0 - 1.5 </t>
  </si>
  <si>
    <t xml:space="preserve">58.1 - 67.2 </t>
  </si>
  <si>
    <t xml:space="preserve">42.3 - 51.6 </t>
  </si>
  <si>
    <t>0.4 - 2.5</t>
  </si>
  <si>
    <t>0.2 - 2.2</t>
  </si>
  <si>
    <t xml:space="preserve">9.0 - 15.2 </t>
  </si>
  <si>
    <t xml:space="preserve">2.4 - 6.2 </t>
  </si>
  <si>
    <t xml:space="preserve">51.2 - 67.8 </t>
  </si>
  <si>
    <t xml:space="preserve">39.5 - 56.4 </t>
  </si>
  <si>
    <t>12.7 - 26.1</t>
  </si>
  <si>
    <t>0 - 2-5</t>
  </si>
  <si>
    <t xml:space="preserve">7.0 - 18.2 </t>
  </si>
  <si>
    <t xml:space="preserve">14.7 - 28.0 </t>
  </si>
  <si>
    <t xml:space="preserve">10.8 - 23.0 </t>
  </si>
  <si>
    <t>1.1 - 7.4</t>
  </si>
  <si>
    <t xml:space="preserve">0.4 - 5.6 </t>
  </si>
  <si>
    <t xml:space="preserve">0.7 - 6.5 </t>
  </si>
  <si>
    <t xml:space="preserve">31.3 - 42.7 </t>
  </si>
  <si>
    <t xml:space="preserve">23.2 - 33.9 </t>
  </si>
  <si>
    <t xml:space="preserve">5.9 - 12.7 </t>
  </si>
  <si>
    <t xml:space="preserve">0 - 1.3 </t>
  </si>
  <si>
    <t xml:space="preserve">0.6 - 2.4 </t>
  </si>
  <si>
    <t xml:space="preserve">0.2 - 1.7 </t>
  </si>
  <si>
    <t>0.1 - 1.3</t>
  </si>
  <si>
    <t>0 - 0.5</t>
  </si>
  <si>
    <t xml:space="preserve">0.2 - 1.5 </t>
  </si>
  <si>
    <t xml:space="preserve">0 - 0.5 </t>
  </si>
  <si>
    <t xml:space="preserve">47.7 - 64.1 </t>
  </si>
  <si>
    <t xml:space="preserve">5.2 - 15.2 </t>
  </si>
  <si>
    <t xml:space="preserve">1.9 - 9.4 </t>
  </si>
  <si>
    <t xml:space="preserve">0.4 - 3.4 </t>
  </si>
  <si>
    <t xml:space="preserve">6.3 - 12.1 </t>
  </si>
  <si>
    <t xml:space="preserve">4.6 - 9.8 </t>
  </si>
  <si>
    <t>0.2 - 2.1</t>
  </si>
  <si>
    <t>0 - 1.4</t>
  </si>
  <si>
    <t xml:space="preserve">0.7 - 3.5 </t>
  </si>
  <si>
    <t xml:space="preserve">0 - 1.4 </t>
  </si>
  <si>
    <t xml:space="preserve">35.8 - 46.6 </t>
  </si>
  <si>
    <t xml:space="preserve">34.9 - 45.7 </t>
  </si>
  <si>
    <t xml:space="preserve">0.2 - 2.6 </t>
  </si>
  <si>
    <t xml:space="preserve">56.2 - 67.5 </t>
  </si>
  <si>
    <t xml:space="preserve">44.5 - 56.1 </t>
  </si>
  <si>
    <t xml:space="preserve">6.3 - 13.2 </t>
  </si>
  <si>
    <t xml:space="preserve">0.9 - 4.7 </t>
  </si>
  <si>
    <t xml:space="preserve">6.0 - 12.8 </t>
  </si>
  <si>
    <t xml:space="preserve">3.9 - 9.7 </t>
  </si>
  <si>
    <t>0.5 - 3.9</t>
  </si>
  <si>
    <t>0 - 1.8</t>
  </si>
  <si>
    <t xml:space="preserve">42.2 - 51.3 </t>
  </si>
  <si>
    <t xml:space="preserve">25.2 - 33.5 </t>
  </si>
  <si>
    <t xml:space="preserve">14.6 - 21.7 </t>
  </si>
  <si>
    <t xml:space="preserve">0.1 - 1.5 </t>
  </si>
  <si>
    <t xml:space="preserve">30.2 - 46.3 </t>
  </si>
  <si>
    <t xml:space="preserve">21.0 - 35.9 </t>
  </si>
  <si>
    <t xml:space="preserve">52.4 - 68.5 </t>
  </si>
  <si>
    <t xml:space="preserve">31.5 - 47.6 </t>
  </si>
  <si>
    <t>3.7 - 12.7</t>
  </si>
  <si>
    <t xml:space="preserve">14.5 - 28.0 </t>
  </si>
  <si>
    <t xml:space="preserve">8.0 - 32.1 </t>
  </si>
  <si>
    <t>0 - 7.9</t>
  </si>
  <si>
    <t xml:space="preserve">0 - 7.9 </t>
  </si>
  <si>
    <t xml:space="preserve">37.9 - 55.9 </t>
  </si>
  <si>
    <t xml:space="preserve">33.3 - 51.2 </t>
  </si>
  <si>
    <t>1.3 - 9.0</t>
  </si>
  <si>
    <t>0 - 4.3</t>
  </si>
  <si>
    <t xml:space="preserve">1.3 - 9.0 </t>
  </si>
  <si>
    <t xml:space="preserve">0 - 4.3 </t>
  </si>
  <si>
    <t xml:space="preserve">0 - 2.9 </t>
  </si>
  <si>
    <t xml:space="preserve">11.7 - 20.3 </t>
  </si>
  <si>
    <t xml:space="preserve">9.4 - 17.3 </t>
  </si>
  <si>
    <t xml:space="preserve">33.5 - 44.7 </t>
  </si>
  <si>
    <t xml:space="preserve">20.9 - 30.9 </t>
  </si>
  <si>
    <t>3.0 - 8.3</t>
  </si>
  <si>
    <t xml:space="preserve">8.0 - 15.4 </t>
  </si>
  <si>
    <t xml:space="preserve">41.8 - 51.8 </t>
  </si>
  <si>
    <t xml:space="preserve">38.9 - 48.8 </t>
  </si>
  <si>
    <t>3.5 - 8.2</t>
  </si>
  <si>
    <t xml:space="preserve">1.6 - 5.2 </t>
  </si>
  <si>
    <t xml:space="preserve">69.2 - 77.6 </t>
  </si>
  <si>
    <t xml:space="preserve">44.0 - 53.4 </t>
  </si>
  <si>
    <t>10.1 - 16.6</t>
  </si>
  <si>
    <t xml:space="preserve">18.0 - 25.9 </t>
  </si>
  <si>
    <t xml:space="preserve">1.7 - 5.2 </t>
  </si>
  <si>
    <t xml:space="preserve">79.4 - 91.1 </t>
  </si>
  <si>
    <t xml:space="preserve">62.7 - 77.8 </t>
  </si>
  <si>
    <t>35.9 - 52.3</t>
  </si>
  <si>
    <t xml:space="preserve">10.0 - 22.1 </t>
  </si>
  <si>
    <t xml:space="preserve">40.1 - 56.6 </t>
  </si>
  <si>
    <t xml:space="preserve">31.9 - 48.0 </t>
  </si>
  <si>
    <t>9.9 - 22.0</t>
  </si>
  <si>
    <t>0 - 3.6</t>
  </si>
  <si>
    <t xml:space="preserve">4.7 - 14.3 </t>
  </si>
  <si>
    <t xml:space="preserve">38.4 - 46.8 </t>
  </si>
  <si>
    <t xml:space="preserve">29.8 - 37.8 </t>
  </si>
  <si>
    <t>3.9 - 7.9</t>
  </si>
  <si>
    <t>0 - 1.0</t>
  </si>
  <si>
    <t xml:space="preserve">5.0 - 9.3 </t>
  </si>
  <si>
    <t xml:space="preserve">1.0 - 3.5 </t>
  </si>
  <si>
    <t xml:space="preserve">0 - 0.7 </t>
  </si>
  <si>
    <t>United Kingdom (Northern Ireland)</t>
  </si>
  <si>
    <t xml:space="preserve">0.1 - 2.3 </t>
  </si>
  <si>
    <t>Total (26 MSs + XI)</t>
  </si>
  <si>
    <t>33.9 - 36.0</t>
  </si>
  <si>
    <t xml:space="preserve">25.8 - 27.8 </t>
  </si>
  <si>
    <t>5.7 - 6.9</t>
  </si>
  <si>
    <t>0.4 - 0.8</t>
  </si>
  <si>
    <t xml:space="preserve">6.5 - 7.6 </t>
  </si>
  <si>
    <t xml:space="preserve">1.0 - 1.5 </t>
  </si>
  <si>
    <t>Iceland</t>
  </si>
  <si>
    <t>Norway*</t>
  </si>
  <si>
    <t xml:space="preserve">0.1 - 2.0 </t>
  </si>
  <si>
    <t xml:space="preserve">2.6 - 6.2 </t>
  </si>
  <si>
    <t xml:space="preserve">0.7 - 3.1 </t>
  </si>
  <si>
    <t>0 - 0.7</t>
  </si>
  <si>
    <t>0.1 - 1.7</t>
  </si>
  <si>
    <t xml:space="preserve">1.4 - 4.3 </t>
  </si>
  <si>
    <t>Total (3 non-MSs)</t>
  </si>
  <si>
    <t>1.4 - 3.3</t>
  </si>
  <si>
    <t>0.4 - 1.7</t>
  </si>
  <si>
    <t>0.8 - 2.3</t>
  </si>
  <si>
    <t>0 - 0.4</t>
  </si>
  <si>
    <t>30.3 - 32.2</t>
  </si>
  <si>
    <t>23.0 - 24.8</t>
  </si>
  <si>
    <t>5.1 - 6.2</t>
  </si>
  <si>
    <t>5.9 - 6.9</t>
  </si>
  <si>
    <t>0.9 - 1.3</t>
  </si>
  <si>
    <t>Total (2 non-MSs)</t>
  </si>
  <si>
    <t xml:space="preserve">33.6 - 48.4 </t>
  </si>
  <si>
    <t xml:space="preserve">24.8 - 38.8 </t>
  </si>
  <si>
    <t>1.2 - 7.1</t>
  </si>
  <si>
    <t>0 - 2.0</t>
  </si>
  <si>
    <t>3.9 - 12.0</t>
  </si>
  <si>
    <t xml:space="preserve">0.6 - 5.6 </t>
  </si>
  <si>
    <t xml:space="preserve">15.6 - 29.1 </t>
  </si>
  <si>
    <t xml:space="preserve">12.8 - 25.6 </t>
  </si>
  <si>
    <t>1.8 - 9.0</t>
  </si>
  <si>
    <t>0 - 2.3</t>
  </si>
  <si>
    <t xml:space="preserve">0.7 - 6.4 </t>
  </si>
  <si>
    <t xml:space="preserve">0 - 3.5 </t>
  </si>
  <si>
    <t xml:space="preserve">0 - 2.3 </t>
  </si>
  <si>
    <t xml:space="preserve">5.1 - 17.2 </t>
  </si>
  <si>
    <t xml:space="preserve">4.4 - 16.1 </t>
  </si>
  <si>
    <t>0.2 - 6.4</t>
  </si>
  <si>
    <t>0 - 3.3</t>
  </si>
  <si>
    <t xml:space="preserve">0 - 5.0 </t>
  </si>
  <si>
    <t xml:space="preserve">0 - 3.3 </t>
  </si>
  <si>
    <t xml:space="preserve">9.3 - 21.1 </t>
  </si>
  <si>
    <t xml:space="preserve">42.6 - 61.7 </t>
  </si>
  <si>
    <t xml:space="preserve">37.5 - 56.5 </t>
  </si>
  <si>
    <t>1.5 - 10.0</t>
  </si>
  <si>
    <t>0 - 3.2</t>
  </si>
  <si>
    <t xml:space="preserve">0.6 - 7.6 </t>
  </si>
  <si>
    <t xml:space="preserve">0 - 3.2 </t>
  </si>
  <si>
    <t xml:space="preserve">4.6 - 10.6 </t>
  </si>
  <si>
    <t xml:space="preserve">2.6 - 7.6 </t>
  </si>
  <si>
    <t>0 - 1.1</t>
  </si>
  <si>
    <t xml:space="preserve">1.1 - 4.9 </t>
  </si>
  <si>
    <t xml:space="preserve">30.6 - 39.7 </t>
  </si>
  <si>
    <t xml:space="preserve">27.8 - 36.7 </t>
  </si>
  <si>
    <t xml:space="preserve">1.6 - 5.0 </t>
  </si>
  <si>
    <t xml:space="preserve">17.4 - 31.6 </t>
  </si>
  <si>
    <t xml:space="preserve">13.9 - 27.3 </t>
  </si>
  <si>
    <t>3.2 - 11.9</t>
  </si>
  <si>
    <t xml:space="preserve">25.2 - 40.8 </t>
  </si>
  <si>
    <t xml:space="preserve">22.8 - 38.0 </t>
  </si>
  <si>
    <t xml:space="preserve">0.7 - 6.7 </t>
  </si>
  <si>
    <t xml:space="preserve">14.4 - 23.6 </t>
  </si>
  <si>
    <t xml:space="preserve">13.5 - 22.5 </t>
  </si>
  <si>
    <t xml:space="preserve">1.4 - 5.7 </t>
  </si>
  <si>
    <t xml:space="preserve">0.8 - 4.4 </t>
  </si>
  <si>
    <t xml:space="preserve">16.3 - 30.4 </t>
  </si>
  <si>
    <t xml:space="preserve">15.8 - 29.7 </t>
  </si>
  <si>
    <t xml:space="preserve">7.5 - 43.7 </t>
  </si>
  <si>
    <t xml:space="preserve">5.0 - 38.8 </t>
  </si>
  <si>
    <t>0 - 14.8</t>
  </si>
  <si>
    <t xml:space="preserve">0.1 - 21.9 </t>
  </si>
  <si>
    <t xml:space="preserve">0 - 14.8 </t>
  </si>
  <si>
    <t xml:space="preserve">0.1 - 11.8 </t>
  </si>
  <si>
    <t xml:space="preserve">20.5 - 30.5 </t>
  </si>
  <si>
    <t xml:space="preserve">18.4 - 28.1 </t>
  </si>
  <si>
    <t>1.1 - 5.1</t>
  </si>
  <si>
    <t xml:space="preserve">17.5 - 29.1 </t>
  </si>
  <si>
    <t>2.6 - 8.9</t>
  </si>
  <si>
    <t xml:space="preserve">0.1 - 3.3 </t>
  </si>
  <si>
    <t xml:space="preserve">1.6 - 7.1 </t>
  </si>
  <si>
    <t xml:space="preserve">8.3 - 19.8 </t>
  </si>
  <si>
    <t xml:space="preserve">26 - 41.7 </t>
  </si>
  <si>
    <t xml:space="preserve">20.5 - 35.4 </t>
  </si>
  <si>
    <t>4.7 - 14.5</t>
  </si>
  <si>
    <t xml:space="preserve">0.2 - 4.8 </t>
  </si>
  <si>
    <t xml:space="preserve">23.5 - 38.7 </t>
  </si>
  <si>
    <t xml:space="preserve">20.6 - 35.2 </t>
  </si>
  <si>
    <t>2.7 - 10.9</t>
  </si>
  <si>
    <t xml:space="preserve">1.1 - 7.5 </t>
  </si>
  <si>
    <t xml:space="preserve">55.8 - 71.7 </t>
  </si>
  <si>
    <t xml:space="preserve">49.7 - 66.0 </t>
  </si>
  <si>
    <t>2.3 - 10.2</t>
  </si>
  <si>
    <t>Sweden</t>
  </si>
  <si>
    <t xml:space="preserve">0 - 4.5 </t>
  </si>
  <si>
    <t>0 - 4.5</t>
  </si>
  <si>
    <t>Total (22 MSs)</t>
  </si>
  <si>
    <t xml:space="preserve">22.9 - 25.6 </t>
  </si>
  <si>
    <t xml:space="preserve">19.9 - 22.5 </t>
  </si>
  <si>
    <t>2.6 - 4.0</t>
  </si>
  <si>
    <t>0 - 0.3</t>
  </si>
  <si>
    <t xml:space="preserve">2.0 - 3.0 </t>
  </si>
  <si>
    <t xml:space="preserve">0.6 - 1.3 </t>
  </si>
  <si>
    <t xml:space="preserve">0 - 3.0 </t>
  </si>
  <si>
    <t>0 - 3.0</t>
  </si>
  <si>
    <t xml:space="preserve">12.6 - 26.2 </t>
  </si>
  <si>
    <t xml:space="preserve">10.2 - 23.0 </t>
  </si>
  <si>
    <t>0.5 - 6.2</t>
  </si>
  <si>
    <t>0 - 3.9</t>
  </si>
  <si>
    <t xml:space="preserve">0.4 - 6.2 </t>
  </si>
  <si>
    <t xml:space="preserve">0 - 3.9 </t>
  </si>
  <si>
    <t xml:space="preserve">0 - 2.6 </t>
  </si>
  <si>
    <t>6.6 - 14.3</t>
  </si>
  <si>
    <t>5,4 - 12.5</t>
  </si>
  <si>
    <t>0.2 - 3.3</t>
  </si>
  <si>
    <t>0 - 2.1</t>
  </si>
  <si>
    <t>22.0 - 24.7</t>
  </si>
  <si>
    <t>19.1 - 21.6</t>
  </si>
  <si>
    <t>2.5 - 3.7</t>
  </si>
  <si>
    <t>1.9 - 2.9</t>
  </si>
  <si>
    <t>0.6 - 1.2</t>
  </si>
  <si>
    <t>Total (20 MSs)</t>
  </si>
  <si>
    <t xml:space="preserve">11.8 - 25.1 </t>
  </si>
  <si>
    <t xml:space="preserve">10.6 - 23.5 </t>
  </si>
  <si>
    <t>0.8 - 7.1</t>
  </si>
  <si>
    <t>0 - 2.6</t>
  </si>
  <si>
    <t xml:space="preserve">0.2 - 5.0 </t>
  </si>
  <si>
    <t xml:space="preserve">6.0 - 20.0 </t>
  </si>
  <si>
    <t xml:space="preserve">5.2 - 18.7 </t>
  </si>
  <si>
    <t>0.3 - 7.5</t>
  </si>
  <si>
    <t xml:space="preserve">0 - 5.8 </t>
  </si>
  <si>
    <t xml:space="preserve">0 - 3.8 </t>
  </si>
  <si>
    <t xml:space="preserve">0.8 - 3.7 </t>
  </si>
  <si>
    <t xml:space="preserve">0.4 - 2.8 </t>
  </si>
  <si>
    <t xml:space="preserve">33.9 - 44.4 </t>
  </si>
  <si>
    <t xml:space="preserve">31.1 - 41.5 </t>
  </si>
  <si>
    <t xml:space="preserve">1.4 - 5.2 </t>
  </si>
  <si>
    <t xml:space="preserve">14.7 - 23.9 </t>
  </si>
  <si>
    <t xml:space="preserve">10 .0- 18.1 </t>
  </si>
  <si>
    <t xml:space="preserve">2.8 - 8.1 </t>
  </si>
  <si>
    <t xml:space="preserve">8.0 - 22.8 </t>
  </si>
  <si>
    <t xml:space="preserve">7.3 - 21.6 </t>
  </si>
  <si>
    <t>0 - 5.6</t>
  </si>
  <si>
    <t xml:space="preserve">0 - 5.6 </t>
  </si>
  <si>
    <t xml:space="preserve">24.8 - 34.0 </t>
  </si>
  <si>
    <t xml:space="preserve">22.4 - 31.3 </t>
  </si>
  <si>
    <t xml:space="preserve">1.2 - 4.6 </t>
  </si>
  <si>
    <t xml:space="preserve">19.8 - 28.7 </t>
  </si>
  <si>
    <t xml:space="preserve">16.6 - 25.0 </t>
  </si>
  <si>
    <t>0.9 - 4.2</t>
  </si>
  <si>
    <t>0.1 - 1.9</t>
  </si>
  <si>
    <t xml:space="preserve">1.3 - 4.9 </t>
  </si>
  <si>
    <t xml:space="preserve">0.2 - 2.3 </t>
  </si>
  <si>
    <t xml:space="preserve">45.1 - 57 </t>
  </si>
  <si>
    <t xml:space="preserve">41.3 - 53.2 </t>
  </si>
  <si>
    <t>1.0 - 5.0</t>
  </si>
  <si>
    <t>0 - 1.3</t>
  </si>
  <si>
    <t xml:space="preserve">1.9 - 6.8 </t>
  </si>
  <si>
    <t xml:space="preserve">39.4 - 56 </t>
  </si>
  <si>
    <t>7.9 - 19.2</t>
  </si>
  <si>
    <t xml:space="preserve">18.1 - 32.6 </t>
  </si>
  <si>
    <t xml:space="preserve">58.9 - 67.1 </t>
  </si>
  <si>
    <t xml:space="preserve">57.3 - 65.5 </t>
  </si>
  <si>
    <t>1.4 - 4.1</t>
  </si>
  <si>
    <t xml:space="preserve">0.4 - 2.3 </t>
  </si>
  <si>
    <t xml:space="preserve">0 - 0.6 </t>
  </si>
  <si>
    <t xml:space="preserve">0 - 10.3 </t>
  </si>
  <si>
    <t>0 - 10.3</t>
  </si>
  <si>
    <t>Total (12 MSs)</t>
  </si>
  <si>
    <t xml:space="preserve">27.0 - 30.2 </t>
  </si>
  <si>
    <t>2.5 - 3.9</t>
  </si>
  <si>
    <t xml:space="preserve">1.3 - 2.3 </t>
  </si>
  <si>
    <t xml:space="preserve">1.4 - 2.3 </t>
  </si>
  <si>
    <t xml:space="preserve">0.2 - 6.4 </t>
  </si>
  <si>
    <t xml:space="preserve">3.8 - 15.0 </t>
  </si>
  <si>
    <t>29.8 - 33.0</t>
  </si>
  <si>
    <t>26.2 - 29.3</t>
  </si>
  <si>
    <t>1.5 - 2.5</t>
  </si>
  <si>
    <t>1.3 - 2.3</t>
  </si>
  <si>
    <t>Total (11MSs)</t>
  </si>
  <si>
    <t>Fattening pigs</t>
  </si>
  <si>
    <t>Cattle (bovine animals) - calves (under 1 year)</t>
  </si>
  <si>
    <t>Czechia</t>
  </si>
  <si>
    <t>Finland</t>
  </si>
  <si>
    <t>Total (19 MSs)</t>
  </si>
  <si>
    <t>Montenegro</t>
  </si>
  <si>
    <t>Total (7 MSs)</t>
  </si>
  <si>
    <t>Austria*</t>
  </si>
  <si>
    <t xml:space="preserve">2.4 - 7.2 </t>
  </si>
  <si>
    <t>Belgium*</t>
  </si>
  <si>
    <t xml:space="preserve">0.7 - 4.1 </t>
  </si>
  <si>
    <t xml:space="preserve">0.4 - 3.2 </t>
  </si>
  <si>
    <t xml:space="preserve">4.6 - 14.8 </t>
  </si>
  <si>
    <t xml:space="preserve">3.6 - 13.0 </t>
  </si>
  <si>
    <t>2.1 - 10.2</t>
  </si>
  <si>
    <t>0 - 2.7</t>
  </si>
  <si>
    <t xml:space="preserve">0 - 2.7 </t>
  </si>
  <si>
    <t xml:space="preserve">0.2 - 5.2 </t>
  </si>
  <si>
    <t xml:space="preserve">2.3 - 13.0 </t>
  </si>
  <si>
    <t xml:space="preserve">5.8 - 12.6 </t>
  </si>
  <si>
    <t xml:space="preserve">3.4 - 9.0 </t>
  </si>
  <si>
    <t xml:space="preserve">2.4 - 7.3 </t>
  </si>
  <si>
    <t xml:space="preserve">1.3 - 5.3 </t>
  </si>
  <si>
    <t xml:space="preserve">0.3 - 3.2 </t>
  </si>
  <si>
    <t xml:space="preserve">3.2 - 11.9 </t>
  </si>
  <si>
    <t xml:space="preserve">1.7 - 5.5 </t>
  </si>
  <si>
    <t xml:space="preserve">1.5 - 5.1 </t>
  </si>
  <si>
    <t xml:space="preserve">0 - 8.2 </t>
  </si>
  <si>
    <t>0 - 5.4</t>
  </si>
  <si>
    <t xml:space="preserve">0 - 5.4 </t>
  </si>
  <si>
    <t xml:space="preserve">5.2 - 11.3 </t>
  </si>
  <si>
    <t xml:space="preserve">4.5 - 10.3 </t>
  </si>
  <si>
    <t>0.7 - 3.9</t>
  </si>
  <si>
    <t xml:space="preserve">2.1 - 6.9 </t>
  </si>
  <si>
    <t xml:space="preserve">3.1 - 8.5 </t>
  </si>
  <si>
    <t xml:space="preserve">7.8 - 19.1 </t>
  </si>
  <si>
    <t xml:space="preserve">6.2 - 16.7 </t>
  </si>
  <si>
    <t>1.1 - 7.6</t>
  </si>
  <si>
    <t>0 - 2-4</t>
  </si>
  <si>
    <t xml:space="preserve">2.3 - 15.3 </t>
  </si>
  <si>
    <t xml:space="preserve">0.9 - 11.5 </t>
  </si>
  <si>
    <t>0 - 4.9</t>
  </si>
  <si>
    <t xml:space="preserve">0.3 - 9.5 </t>
  </si>
  <si>
    <t xml:space="preserve">0 - 4.9 </t>
  </si>
  <si>
    <t xml:space="preserve">3.5 - 9.0 </t>
  </si>
  <si>
    <t xml:space="preserve">2.0 - 6.7 </t>
  </si>
  <si>
    <t>0.2 - 2.8</t>
  </si>
  <si>
    <t xml:space="preserve">11 - 20.2 </t>
  </si>
  <si>
    <t xml:space="preserve">8.7 - 17.1 </t>
  </si>
  <si>
    <t>1.4 - 6.0</t>
  </si>
  <si>
    <t xml:space="preserve">0.1 - 2.8 </t>
  </si>
  <si>
    <t xml:space="preserve">0.6 - 4.5 </t>
  </si>
  <si>
    <t xml:space="preserve">4.2 - 10.1 </t>
  </si>
  <si>
    <t xml:space="preserve">3.2 - 8.6 </t>
  </si>
  <si>
    <t>0.4 - 3.3</t>
  </si>
  <si>
    <t xml:space="preserve">15.2 - 28.9 </t>
  </si>
  <si>
    <t xml:space="preserve">10.6 - 23.0 </t>
  </si>
  <si>
    <t>4.2 - 13.7</t>
  </si>
  <si>
    <t xml:space="preserve">2.3 - 10.3 </t>
  </si>
  <si>
    <t xml:space="preserve">9.8 - 21.7 </t>
  </si>
  <si>
    <t xml:space="preserve">2.3 - 10.0 </t>
  </si>
  <si>
    <t>0.7 - 4.4</t>
  </si>
  <si>
    <t xml:space="preserve">5.6 - 15.7 </t>
  </si>
  <si>
    <t xml:space="preserve">3.9 - 9.8 </t>
  </si>
  <si>
    <t xml:space="preserve">2.6 - 7.8 </t>
  </si>
  <si>
    <t>United Kingdom (Northern Ireland)*</t>
  </si>
  <si>
    <t xml:space="preserve">0.6 - 8.9 </t>
  </si>
  <si>
    <t>Total (27 MSs + XI)</t>
  </si>
  <si>
    <t xml:space="preserve">4.9 - 6.0 </t>
  </si>
  <si>
    <t xml:space="preserve">3.6 - 4.6 </t>
  </si>
  <si>
    <t>1.0 - 1.8</t>
  </si>
  <si>
    <t>&lt;0.1</t>
  </si>
  <si>
    <t xml:space="preserve">0.9 - 1.5 </t>
  </si>
  <si>
    <t xml:space="preserve">0.1 - 0.3 </t>
  </si>
  <si>
    <t xml:space="preserve">0.4 - 3.6 </t>
  </si>
  <si>
    <t>0.5 - 2.4</t>
  </si>
  <si>
    <t>4.6 - 5.6</t>
  </si>
  <si>
    <t>3.3 - 4.2</t>
  </si>
  <si>
    <t>1.0 - 1.6</t>
  </si>
  <si>
    <t>1.0 - 1.5</t>
  </si>
  <si>
    <t>0.1 - 0.3</t>
  </si>
  <si>
    <t>Total (24 MSs + XI)</t>
  </si>
  <si>
    <t xml:space="preserve">59.6 - 70.7 </t>
  </si>
  <si>
    <t xml:space="preserve">55.5 - 66.9 </t>
  </si>
  <si>
    <t xml:space="preserve">2.4 - 7.4 </t>
  </si>
  <si>
    <t xml:space="preserve">17.4 - 26.9 </t>
  </si>
  <si>
    <t xml:space="preserve">2.7 - 7.8 </t>
  </si>
  <si>
    <t xml:space="preserve">32.5 - 40.2 </t>
  </si>
  <si>
    <t xml:space="preserve">29.8 - 37.4 </t>
  </si>
  <si>
    <t>13.6 - 19.6</t>
  </si>
  <si>
    <t xml:space="preserve">1.1 - 3.6 </t>
  </si>
  <si>
    <t xml:space="preserve">39.3 - 51.1 </t>
  </si>
  <si>
    <t xml:space="preserve">32.0 - 43.4 </t>
  </si>
  <si>
    <t>3.2 - 8.8</t>
  </si>
  <si>
    <t xml:space="preserve">4.8 - 11.3 </t>
  </si>
  <si>
    <t xml:space="preserve">3.5 - 17.0 </t>
  </si>
  <si>
    <t xml:space="preserve">2.0 - 13.8 </t>
  </si>
  <si>
    <t xml:space="preserve">0.3 - 8.6 </t>
  </si>
  <si>
    <t xml:space="preserve">37.4 - 48.6 </t>
  </si>
  <si>
    <t xml:space="preserve">20.8 - 30.7 </t>
  </si>
  <si>
    <t xml:space="preserve">13.3 - 22.0 </t>
  </si>
  <si>
    <t xml:space="preserve">13.2 - 22.2 </t>
  </si>
  <si>
    <t>0 - 1.9</t>
  </si>
  <si>
    <t xml:space="preserve">10.8 - 19.2 </t>
  </si>
  <si>
    <t xml:space="preserve">0.2 - 3.0 </t>
  </si>
  <si>
    <t xml:space="preserve">11.6 - 23.9 </t>
  </si>
  <si>
    <t xml:space="preserve">6.4 - 16.7 </t>
  </si>
  <si>
    <t>0.2 - 4.5</t>
  </si>
  <si>
    <t xml:space="preserve">3.1 - 11.3 </t>
  </si>
  <si>
    <t xml:space="preserve">4.2 - 10.3 </t>
  </si>
  <si>
    <t>0.2 - 3.0</t>
  </si>
  <si>
    <t xml:space="preserve">1.0 - 4.8 </t>
  </si>
  <si>
    <t xml:space="preserve">39 - 49.6 </t>
  </si>
  <si>
    <t xml:space="preserve">28.9 - 39.1 </t>
  </si>
  <si>
    <t xml:space="preserve">7.4 - 14.0 </t>
  </si>
  <si>
    <t xml:space="preserve">33.7 - 58.1 </t>
  </si>
  <si>
    <t xml:space="preserve">28.5 - 52.4 </t>
  </si>
  <si>
    <t>0.4 - 9.9</t>
  </si>
  <si>
    <t>0 - 5.1</t>
  </si>
  <si>
    <t xml:space="preserve">0.9 - 12.0 </t>
  </si>
  <si>
    <t xml:space="preserve">0 - 7.7 </t>
  </si>
  <si>
    <t xml:space="preserve">0 - 5.1 </t>
  </si>
  <si>
    <t xml:space="preserve">49.1 - 59.3 </t>
  </si>
  <si>
    <t xml:space="preserve">41.7 - 52.0 </t>
  </si>
  <si>
    <t>12.0 - 19.6</t>
  </si>
  <si>
    <t>1.1 - 4.5</t>
  </si>
  <si>
    <t xml:space="preserve">4.5 - 9.9 </t>
  </si>
  <si>
    <t xml:space="preserve">0.1 - 1.9 </t>
  </si>
  <si>
    <t xml:space="preserve">29.9 - 41.0 </t>
  </si>
  <si>
    <t xml:space="preserve">17.1 - 26.8 </t>
  </si>
  <si>
    <t>6.0 - 12.8</t>
  </si>
  <si>
    <t xml:space="preserve">9.1 - 17.0 </t>
  </si>
  <si>
    <t xml:space="preserve">65.5 - 76.1 </t>
  </si>
  <si>
    <t xml:space="preserve">50.5 - 62.0 </t>
  </si>
  <si>
    <t xml:space="preserve">10.9 - 19.2 </t>
  </si>
  <si>
    <t xml:space="preserve">48.3 - 64.7 </t>
  </si>
  <si>
    <t xml:space="preserve">44.4 - 60.9 </t>
  </si>
  <si>
    <t>7.3 - 18.3</t>
  </si>
  <si>
    <t xml:space="preserve">24 - 39.4 </t>
  </si>
  <si>
    <t xml:space="preserve">20.4 - 35.2 </t>
  </si>
  <si>
    <t xml:space="preserve">15.5 - 28.4 </t>
  </si>
  <si>
    <t xml:space="preserve">13.9 - 26.5 </t>
  </si>
  <si>
    <t>0.4 - 5.1</t>
  </si>
  <si>
    <t>0 - 2.2</t>
  </si>
  <si>
    <t xml:space="preserve">0.4 - 5.1 </t>
  </si>
  <si>
    <t xml:space="preserve">0 - 2.2 </t>
  </si>
  <si>
    <t xml:space="preserve">20.5 - 32.8 </t>
  </si>
  <si>
    <t xml:space="preserve">18.3 - 30.3 </t>
  </si>
  <si>
    <t>0.3 - 4.1</t>
  </si>
  <si>
    <t xml:space="preserve">0.5 - 4.8 </t>
  </si>
  <si>
    <t xml:space="preserve">4.9 - 11.3 </t>
  </si>
  <si>
    <t xml:space="preserve">4.1 - 10.1 </t>
  </si>
  <si>
    <t xml:space="preserve">41.3 - 52.7 </t>
  </si>
  <si>
    <t xml:space="preserve">25.3 - 35.9 </t>
  </si>
  <si>
    <t>4.0 - 9.8</t>
  </si>
  <si>
    <t xml:space="preserve">10.8 - 19.0 </t>
  </si>
  <si>
    <t xml:space="preserve">66.4 - 76.3 </t>
  </si>
  <si>
    <t xml:space="preserve">52 - 62.8 </t>
  </si>
  <si>
    <t>10.0 - 17.6</t>
  </si>
  <si>
    <t xml:space="preserve">5.4 - 11.5 </t>
  </si>
  <si>
    <t xml:space="preserve">3.7 - 9.1 </t>
  </si>
  <si>
    <t xml:space="preserve">68.3 - 78.6 </t>
  </si>
  <si>
    <t xml:space="preserve">44.9 - 56.5 </t>
  </si>
  <si>
    <t>4.7 - 10.9</t>
  </si>
  <si>
    <t>0.7 - 4.3</t>
  </si>
  <si>
    <t xml:space="preserve">12.9 - 21.7 </t>
  </si>
  <si>
    <t xml:space="preserve">3.6 - 9.3 </t>
  </si>
  <si>
    <t xml:space="preserve">52.8 - 69.5 </t>
  </si>
  <si>
    <t xml:space="preserve">31.8 - 48.6 </t>
  </si>
  <si>
    <t>19.3 - 34.5</t>
  </si>
  <si>
    <t>0.8 - 7.2</t>
  </si>
  <si>
    <t xml:space="preserve">13.7 - 27.6 </t>
  </si>
  <si>
    <t xml:space="preserve">0.2 - 5.1 </t>
  </si>
  <si>
    <t xml:space="preserve">43.8 - 60.1 </t>
  </si>
  <si>
    <t xml:space="preserve">15.2 - 28.8 </t>
  </si>
  <si>
    <t>7.1 - 17.8</t>
  </si>
  <si>
    <t xml:space="preserve">23.4 - 38.4 </t>
  </si>
  <si>
    <t xml:space="preserve">77.8 - 85.4 </t>
  </si>
  <si>
    <t xml:space="preserve">59.3 - 68.8 </t>
  </si>
  <si>
    <t>12.6 - 19.9</t>
  </si>
  <si>
    <t xml:space="preserve">10.6 - 17.5 </t>
  </si>
  <si>
    <t xml:space="preserve">2.2 - 6.2 </t>
  </si>
  <si>
    <t xml:space="preserve">1.6 - 6.0 </t>
  </si>
  <si>
    <t xml:space="preserve">31.5 - 42.9 </t>
  </si>
  <si>
    <t xml:space="preserve">18.7 - 28.7 </t>
  </si>
  <si>
    <t>6.4 - 13.5</t>
  </si>
  <si>
    <t xml:space="preserve">9.9 - 18.1 </t>
  </si>
  <si>
    <t xml:space="preserve">39.8 - 42.0 </t>
  </si>
  <si>
    <t xml:space="preserve">29.7 - 31.8 </t>
  </si>
  <si>
    <t>8.6 - 10.3</t>
  </si>
  <si>
    <t xml:space="preserve">8.4 - 9.7 </t>
  </si>
  <si>
    <t xml:space="preserve">0.8 - 1.3 </t>
  </si>
  <si>
    <t xml:space="preserve">15.4 - 24.2 </t>
  </si>
  <si>
    <t xml:space="preserve">0.7 - 3.9 </t>
  </si>
  <si>
    <t xml:space="preserve">13.8 - 22.3 </t>
  </si>
  <si>
    <t xml:space="preserve">3.8 - 9.5 </t>
  </si>
  <si>
    <t>8.9 - 13.4</t>
  </si>
  <si>
    <t>1.6 - 3.9</t>
  </si>
  <si>
    <t>0 - 0.8</t>
  </si>
  <si>
    <t>6.5 - 10.5</t>
  </si>
  <si>
    <t>37.0 - 39.1</t>
  </si>
  <si>
    <t>27.1 - 29.1</t>
  </si>
  <si>
    <t>7.9 - 9.4</t>
  </si>
  <si>
    <t>0.3 - 0.7</t>
  </si>
  <si>
    <t>8.4 - 9.6</t>
  </si>
  <si>
    <t>0.8 - 1.2</t>
  </si>
  <si>
    <t>1.1 - 4.9</t>
  </si>
  <si>
    <t>1.5 - 5.8</t>
  </si>
  <si>
    <t>0.9 - 4.6</t>
  </si>
  <si>
    <t>2.0 - 9.9</t>
  </si>
  <si>
    <t xml:space="preserve"> 0 - 3.9 </t>
  </si>
  <si>
    <t xml:space="preserve"> 0 - 2.6 </t>
  </si>
  <si>
    <t>0.7 - 9.1</t>
  </si>
  <si>
    <t xml:space="preserve"> 0 - 2.4 </t>
  </si>
  <si>
    <t>6.6 - 13.6</t>
  </si>
  <si>
    <t>5.8 - 12.5</t>
  </si>
  <si>
    <t>0.2 - 2.9</t>
  </si>
  <si>
    <t>1.3 - 5.4</t>
  </si>
  <si>
    <t xml:space="preserve"> 0.1 - 2.3 </t>
  </si>
  <si>
    <t xml:space="preserve"> 0 - 1.2 </t>
  </si>
  <si>
    <t xml:space="preserve"> 0 - 3.7 </t>
  </si>
  <si>
    <t>0.1 - 2.3</t>
  </si>
  <si>
    <t>0.5 - 3.2</t>
  </si>
  <si>
    <t>0 - 7.8</t>
  </si>
  <si>
    <t xml:space="preserve"> 0 - 5.2 </t>
  </si>
  <si>
    <t>0 - 5.2</t>
  </si>
  <si>
    <t>18.5 - 32.2</t>
  </si>
  <si>
    <t>17.9 - 31.5</t>
  </si>
  <si>
    <t xml:space="preserve"> 4.7 - 13.8 </t>
  </si>
  <si>
    <t xml:space="preserve"> 0 - 2.2 </t>
  </si>
  <si>
    <t>6.8 - 13.9</t>
  </si>
  <si>
    <t>6.6 - 13.5</t>
  </si>
  <si>
    <t xml:space="preserve"> 0.4 - 5.7 </t>
  </si>
  <si>
    <t>3.1 - 8.5</t>
  </si>
  <si>
    <t xml:space="preserve"> 0.1 - 2.4 </t>
  </si>
  <si>
    <t>1.2 - 10.3</t>
  </si>
  <si>
    <t>0.3 - 7.3</t>
  </si>
  <si>
    <t xml:space="preserve"> 0 - 3.8 </t>
  </si>
  <si>
    <t>0 - 3.8</t>
  </si>
  <si>
    <t>1.5 - 8.5</t>
  </si>
  <si>
    <t>1.8 - 6.3</t>
  </si>
  <si>
    <t>8.0 - 15.9</t>
  </si>
  <si>
    <t>5.9 - 13.0</t>
  </si>
  <si>
    <t xml:space="preserve"> 0.6 - 4.2 </t>
  </si>
  <si>
    <t xml:space="preserve"> 0 - 1.3 </t>
  </si>
  <si>
    <t>0.4 - 3.7</t>
  </si>
  <si>
    <t>0.2 - 3.1</t>
  </si>
  <si>
    <t>5.1 - 11.6</t>
  </si>
  <si>
    <t>4.9 - 11.2</t>
  </si>
  <si>
    <t xml:space="preserve"> 0 - 1.8 </t>
  </si>
  <si>
    <t>4.6 - 14.1</t>
  </si>
  <si>
    <t>1.5 - 8.3</t>
  </si>
  <si>
    <t xml:space="preserve"> 0.4 - 5.6 </t>
  </si>
  <si>
    <t>1.9 - 9.2</t>
  </si>
  <si>
    <t>1.9 - 6.5</t>
  </si>
  <si>
    <t>1.4 - 5.7</t>
  </si>
  <si>
    <t xml:space="preserve"> 0 - 1.9 </t>
  </si>
  <si>
    <t>0.3 - 7.2</t>
  </si>
  <si>
    <t xml:space="preserve">Total (27 MSs + XI) </t>
  </si>
  <si>
    <t>3.9 - 5.0</t>
  </si>
  <si>
    <t>3.4 - 4.4</t>
  </si>
  <si>
    <t xml:space="preserve"> 0.6 - 1.2 </t>
  </si>
  <si>
    <t xml:space="preserve"> 0 - 0.1 </t>
  </si>
  <si>
    <t>0 - 0.2</t>
  </si>
  <si>
    <t>0.1 - 2.0</t>
  </si>
  <si>
    <t xml:space="preserve"> 0 - 1.0 </t>
  </si>
  <si>
    <t>3.6 - 4.5</t>
  </si>
  <si>
    <t>3.1 - 4.0</t>
  </si>
  <si>
    <t>0.5 - 1.0</t>
  </si>
  <si>
    <t>0.3 - 0.6</t>
  </si>
  <si>
    <t>Total (25 MSs + XI)</t>
  </si>
  <si>
    <t xml:space="preserve">22.7 - 33.6 </t>
  </si>
  <si>
    <t xml:space="preserve">19.0 - 29.4 </t>
  </si>
  <si>
    <t xml:space="preserve">2.0 - 7.0 </t>
  </si>
  <si>
    <t xml:space="preserve">59.8 - 70.7 </t>
  </si>
  <si>
    <t xml:space="preserve">54.6 - 65.7 </t>
  </si>
  <si>
    <t xml:space="preserve">3.0 - 8.2 </t>
  </si>
  <si>
    <t xml:space="preserve">23.2 - 33.8 </t>
  </si>
  <si>
    <t xml:space="preserve">20.1 - 30.2 </t>
  </si>
  <si>
    <t>0.6 - 3.9</t>
  </si>
  <si>
    <t xml:space="preserve">2.3 - 7.1 </t>
  </si>
  <si>
    <t xml:space="preserve">1.8 - 6.3 </t>
  </si>
  <si>
    <t xml:space="preserve">10.7 - 19.3 </t>
  </si>
  <si>
    <t xml:space="preserve">5.3 - 12.1 </t>
  </si>
  <si>
    <t xml:space="preserve">3.9 - 10.0 </t>
  </si>
  <si>
    <t xml:space="preserve">60.2 - 70.5 </t>
  </si>
  <si>
    <t xml:space="preserve">59.3 - 69.7 </t>
  </si>
  <si>
    <t xml:space="preserve">0.2 - 2.5 </t>
  </si>
  <si>
    <t xml:space="preserve">0 - 1.6 </t>
  </si>
  <si>
    <t xml:space="preserve">84.6 - 92 </t>
  </si>
  <si>
    <t xml:space="preserve">80.1 - 88.6 </t>
  </si>
  <si>
    <t xml:space="preserve">26.7 - 37.5 </t>
  </si>
  <si>
    <t xml:space="preserve">24.9 - 35.4 </t>
  </si>
  <si>
    <t xml:space="preserve">48.6 - 59.7 </t>
  </si>
  <si>
    <t xml:space="preserve">43.1 - 54.2 </t>
  </si>
  <si>
    <t>3.8 - 9.3</t>
  </si>
  <si>
    <t xml:space="preserve">1.5 - 5.6 </t>
  </si>
  <si>
    <t xml:space="preserve">1.1 - 4.8 </t>
  </si>
  <si>
    <t xml:space="preserve">19.1 - 29.3 </t>
  </si>
  <si>
    <t xml:space="preserve">16.5 - 26.3 </t>
  </si>
  <si>
    <t>2.0 - 6.8</t>
  </si>
  <si>
    <t>0.1 - 2.5</t>
  </si>
  <si>
    <t xml:space="preserve">38.9 - 49 </t>
  </si>
  <si>
    <t xml:space="preserve">29.8 - 39.4 </t>
  </si>
  <si>
    <t>15.5 - 23.5</t>
  </si>
  <si>
    <t xml:space="preserve">4.1 - 9.2 </t>
  </si>
  <si>
    <t xml:space="preserve">1.6 - 5.3 </t>
  </si>
  <si>
    <t xml:space="preserve">0 - 23.2 </t>
  </si>
  <si>
    <t>0 - 23.2</t>
  </si>
  <si>
    <t xml:space="preserve">35.4 - 38.7 </t>
  </si>
  <si>
    <t>5.1 - 7.3</t>
  </si>
  <si>
    <t xml:space="preserve">3.0 - 4.3 </t>
  </si>
  <si>
    <t xml:space="preserve">0.5 - 1.1 </t>
  </si>
  <si>
    <t xml:space="preserve">0 - 0.3 </t>
  </si>
  <si>
    <t xml:space="preserve">26.5 - 37.2 </t>
  </si>
  <si>
    <t xml:space="preserve">12.1 - 20.6 </t>
  </si>
  <si>
    <t>0.7 - 4.2</t>
  </si>
  <si>
    <t xml:space="preserve">10.1 - 18.1 </t>
  </si>
  <si>
    <t>39.0 - 42.2</t>
  </si>
  <si>
    <t>33.8 - 36.9</t>
  </si>
  <si>
    <t>4.6 - 6.6</t>
  </si>
  <si>
    <t>3.8 - 5.2</t>
  </si>
  <si>
    <t>Total (11 MSs)</t>
  </si>
  <si>
    <t>Animal popultaion/meat</t>
  </si>
  <si>
    <t>Broilers, 2022</t>
  </si>
  <si>
    <t>Meat from broilers at retail, 2022</t>
  </si>
  <si>
    <t>Fattening turkeys, 2022</t>
  </si>
  <si>
    <t>Meat from turkeys at retail, 2022</t>
  </si>
  <si>
    <t>Fattening pigs, 2023</t>
  </si>
  <si>
    <t>Meat from pigs at retail, 2023</t>
  </si>
  <si>
    <t>Cattle under 1 year</t>
  </si>
  <si>
    <t>Meat from cattle at retail, 2023</t>
  </si>
  <si>
    <t>nCP</t>
  </si>
  <si>
    <t>Germany</t>
  </si>
  <si>
    <t>Italy</t>
  </si>
  <si>
    <t>Netherlands</t>
  </si>
  <si>
    <t>&gt; MSTR: Netherlands reported 'Cattle under 1 year' matrix as 'Cattle, meat production animals'</t>
  </si>
  <si>
    <t>Matrix</t>
  </si>
  <si>
    <r>
      <t xml:space="preserve">Broiler meat, </t>
    </r>
    <r>
      <rPr>
        <b/>
        <sz val="11"/>
        <color theme="1"/>
        <rFont val="Calibri"/>
        <family val="2"/>
      </rPr>
      <t>retail,</t>
    </r>
    <r>
      <rPr>
        <sz val="11"/>
        <color theme="1"/>
        <rFont val="Calibri"/>
        <family val="2"/>
        <scheme val="minor"/>
      </rPr>
      <t xml:space="preserve"> 2022, N=6998, 28 RCs</t>
    </r>
  </si>
  <si>
    <r>
      <t>Broiler meat,</t>
    </r>
    <r>
      <rPr>
        <b/>
        <sz val="11"/>
        <color theme="1"/>
        <rFont val="Calibri"/>
        <family val="2"/>
      </rPr>
      <t xml:space="preserve"> BCP</t>
    </r>
    <r>
      <rPr>
        <sz val="11"/>
        <color theme="1"/>
        <rFont val="Calibri"/>
        <family val="2"/>
        <scheme val="minor"/>
      </rPr>
      <t>, 2022, N=332, 9 RCs</t>
    </r>
  </si>
  <si>
    <r>
      <t xml:space="preserve">Turkey meat, </t>
    </r>
    <r>
      <rPr>
        <b/>
        <sz val="11"/>
        <color theme="1"/>
        <rFont val="Calibri"/>
        <family val="2"/>
      </rPr>
      <t>retail</t>
    </r>
    <r>
      <rPr>
        <sz val="11"/>
        <color theme="1"/>
        <rFont val="Calibri"/>
        <family val="2"/>
        <scheme val="minor"/>
      </rPr>
      <t>, 2022, N=4050, 24 RCs</t>
    </r>
  </si>
  <si>
    <r>
      <t xml:space="preserve">Turkey meat, </t>
    </r>
    <r>
      <rPr>
        <b/>
        <sz val="11"/>
        <color theme="1"/>
        <rFont val="Calibri"/>
        <family val="2"/>
      </rPr>
      <t>BCP,</t>
    </r>
    <r>
      <rPr>
        <sz val="11"/>
        <color theme="1"/>
        <rFont val="Calibri"/>
        <family val="2"/>
        <scheme val="minor"/>
      </rPr>
      <t xml:space="preserve"> 2022, N=45, 3 RCs</t>
    </r>
  </si>
  <si>
    <r>
      <t>Pig meat,</t>
    </r>
    <r>
      <rPr>
        <b/>
        <sz val="11"/>
        <color theme="1"/>
        <rFont val="Calibri"/>
        <family val="2"/>
      </rPr>
      <t xml:space="preserve"> retail</t>
    </r>
    <r>
      <rPr>
        <sz val="11"/>
        <color theme="1"/>
        <rFont val="Calibri"/>
        <family val="2"/>
        <scheme val="minor"/>
      </rPr>
      <t>, 2023, N=7059, 30 RCs</t>
    </r>
  </si>
  <si>
    <r>
      <t xml:space="preserve">Pig meat, </t>
    </r>
    <r>
      <rPr>
        <b/>
        <sz val="11"/>
        <color theme="1"/>
        <rFont val="Calibri"/>
        <family val="2"/>
      </rPr>
      <t>BCP</t>
    </r>
    <r>
      <rPr>
        <sz val="11"/>
        <color theme="1"/>
        <rFont val="Calibri"/>
        <family val="2"/>
        <scheme val="minor"/>
      </rPr>
      <t>, 2023, N=290, 9 RCs</t>
    </r>
  </si>
  <si>
    <r>
      <t xml:space="preserve">Cattle meat, </t>
    </r>
    <r>
      <rPr>
        <b/>
        <sz val="11"/>
        <color theme="1"/>
        <rFont val="Calibri"/>
        <family val="2"/>
      </rPr>
      <t>retail</t>
    </r>
    <r>
      <rPr>
        <sz val="11"/>
        <color theme="1"/>
        <rFont val="Calibri"/>
        <family val="2"/>
        <scheme val="minor"/>
      </rPr>
      <t>, 2023, N=7112, 30 RCs</t>
    </r>
  </si>
  <si>
    <r>
      <t xml:space="preserve">Cattle meat, </t>
    </r>
    <r>
      <rPr>
        <b/>
        <sz val="11"/>
        <color theme="1"/>
        <rFont val="Calibri"/>
        <family val="2"/>
      </rPr>
      <t>BCP</t>
    </r>
    <r>
      <rPr>
        <sz val="11"/>
        <color theme="1"/>
        <rFont val="Calibri"/>
        <family val="2"/>
        <scheme val="minor"/>
      </rPr>
      <t>, 2023, N=742, 14 RCs</t>
    </r>
  </si>
  <si>
    <t>Information regarding the origin of the meat samples collected at BCPs can be found in the respective country datasets available on Zenodo</t>
  </si>
  <si>
    <t>Sheetname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</si>
</sst>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</font>
    <font>
      <i/>
      <sz val="10"/>
      <color theme="1"/>
      <name val="Trebuchet MS"/>
      <family val="2"/>
    </font>
    <font>
      <i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22294D"/>
      <name val="Calibri"/>
      <family val="2"/>
      <scheme val="minor"/>
    </font>
    <font>
      <vertAlign val="subscript"/>
      <sz val="11"/>
      <color rgb="FF22294D"/>
      <name val="Calibri"/>
      <family val="2"/>
      <scheme val="minor"/>
    </font>
    <font>
      <u/>
      <sz val="11"/>
      <color rgb="FF00808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 vertical="center" wrapText="1"/>
    </xf>
    <xf numFmtId="37" fontId="0" fillId="0" borderId="0" xfId="0" applyNumberFormat="1"/>
    <xf numFmtId="164" fontId="0" fillId="0" borderId="0" xfId="0" applyNumberFormat="1"/>
    <xf numFmtId="0" fontId="1" fillId="0" borderId="1" xfId="0" applyFont="1" applyBorder="1"/>
    <xf numFmtId="0" fontId="0" fillId="0" borderId="1" xfId="0" applyBorder="1"/>
    <xf numFmtId="37" fontId="0" fillId="0" borderId="1" xfId="0" applyNumberFormat="1" applyBorder="1"/>
    <xf numFmtId="164" fontId="0" fillId="0" borderId="1" xfId="0" applyNumberFormat="1" applyBorder="1"/>
    <xf numFmtId="37" fontId="1" fillId="0" borderId="1" xfId="0" applyNumberFormat="1" applyFont="1" applyBorder="1"/>
    <xf numFmtId="164" fontId="1" fillId="0" borderId="1" xfId="0" applyNumberFormat="1" applyFont="1" applyBorder="1"/>
    <xf numFmtId="0" fontId="0" fillId="0" borderId="2" xfId="0" applyBorder="1"/>
    <xf numFmtId="37" fontId="0" fillId="0" borderId="2" xfId="0" applyNumberFormat="1" applyBorder="1"/>
    <xf numFmtId="164" fontId="0" fillId="0" borderId="2" xfId="0" applyNumberFormat="1" applyBorder="1"/>
    <xf numFmtId="0" fontId="7" fillId="0" borderId="1" xfId="0" applyFont="1" applyBorder="1"/>
    <xf numFmtId="0" fontId="4" fillId="0" borderId="0" xfId="0" applyFont="1"/>
    <xf numFmtId="0" fontId="0" fillId="0" borderId="0" xfId="0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  <xf numFmtId="164" fontId="1" fillId="0" borderId="1" xfId="0" quotePrefix="1" applyNumberFormat="1" applyFont="1" applyBorder="1"/>
    <xf numFmtId="0" fontId="1" fillId="0" borderId="0" xfId="0" applyFont="1"/>
    <xf numFmtId="37" fontId="1" fillId="0" borderId="0" xfId="0" applyNumberFormat="1" applyFont="1"/>
    <xf numFmtId="164" fontId="1" fillId="0" borderId="0" xfId="0" applyNumberFormat="1" applyFont="1"/>
    <xf numFmtId="164" fontId="1" fillId="0" borderId="0" xfId="0" quotePrefix="1" applyNumberFormat="1" applyFont="1"/>
    <xf numFmtId="0" fontId="0" fillId="0" borderId="1" xfId="0" applyBorder="1" applyAlignment="1">
      <alignment wrapText="1"/>
    </xf>
    <xf numFmtId="37" fontId="0" fillId="0" borderId="1" xfId="0" applyNumberFormat="1" applyBorder="1" applyAlignment="1">
      <alignment wrapText="1"/>
    </xf>
    <xf numFmtId="164" fontId="0" fillId="0" borderId="1" xfId="0" applyNumberFormat="1" applyBorder="1" applyAlignment="1">
      <alignment wrapText="1"/>
    </xf>
    <xf numFmtId="0" fontId="0" fillId="0" borderId="0" xfId="0" applyAlignment="1">
      <alignment wrapText="1"/>
    </xf>
    <xf numFmtId="0" fontId="1" fillId="0" borderId="1" xfId="0" quotePrefix="1" applyFont="1" applyBorder="1"/>
    <xf numFmtId="14" fontId="0" fillId="0" borderId="0" xfId="0" applyNumberFormat="1"/>
    <xf numFmtId="0" fontId="0" fillId="0" borderId="0" xfId="0" quotePrefix="1"/>
    <xf numFmtId="1" fontId="1" fillId="0" borderId="1" xfId="0" applyNumberFormat="1" applyFont="1" applyBorder="1"/>
    <xf numFmtId="164" fontId="0" fillId="0" borderId="4" xfId="0" applyNumberFormat="1" applyBorder="1"/>
    <xf numFmtId="0" fontId="0" fillId="0" borderId="4" xfId="0" applyBorder="1"/>
    <xf numFmtId="37" fontId="0" fillId="0" borderId="4" xfId="0" applyNumberFormat="1" applyBorder="1"/>
    <xf numFmtId="0" fontId="1" fillId="0" borderId="4" xfId="0" applyFont="1" applyBorder="1"/>
    <xf numFmtId="164" fontId="1" fillId="0" borderId="4" xfId="0" applyNumberFormat="1" applyFont="1" applyBorder="1"/>
    <xf numFmtId="1" fontId="0" fillId="0" borderId="0" xfId="0" applyNumberFormat="1"/>
    <xf numFmtId="1" fontId="0" fillId="0" borderId="1" xfId="0" applyNumberFormat="1" applyBorder="1"/>
    <xf numFmtId="37" fontId="1" fillId="0" borderId="4" xfId="0" applyNumberFormat="1" applyFont="1" applyBorder="1"/>
    <xf numFmtId="0" fontId="0" fillId="0" borderId="0" xfId="0" quotePrefix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164" fontId="4" fillId="0" borderId="0" xfId="0" quotePrefix="1" applyNumberFormat="1" applyFont="1"/>
    <xf numFmtId="164" fontId="4" fillId="0" borderId="0" xfId="0" applyNumberFormat="1" applyFont="1"/>
    <xf numFmtId="164" fontId="4" fillId="0" borderId="1" xfId="0" quotePrefix="1" applyNumberFormat="1" applyFont="1" applyBorder="1"/>
    <xf numFmtId="164" fontId="4" fillId="0" borderId="1" xfId="0" applyNumberFormat="1" applyFont="1" applyBorder="1"/>
    <xf numFmtId="164" fontId="5" fillId="0" borderId="1" xfId="0" quotePrefix="1" applyNumberFormat="1" applyFont="1" applyBorder="1"/>
    <xf numFmtId="164" fontId="5" fillId="0" borderId="1" xfId="0" applyNumberFormat="1" applyFont="1" applyBorder="1"/>
    <xf numFmtId="37" fontId="4" fillId="0" borderId="0" xfId="0" applyNumberFormat="1" applyFont="1"/>
    <xf numFmtId="0" fontId="6" fillId="0" borderId="1" xfId="0" applyFont="1" applyBorder="1"/>
    <xf numFmtId="0" fontId="4" fillId="0" borderId="1" xfId="0" applyFont="1" applyBorder="1"/>
    <xf numFmtId="0" fontId="5" fillId="0" borderId="1" xfId="0" applyFont="1" applyBorder="1"/>
    <xf numFmtId="0" fontId="5" fillId="0" borderId="4" xfId="0" applyFont="1" applyBorder="1"/>
    <xf numFmtId="37" fontId="5" fillId="0" borderId="4" xfId="0" applyNumberFormat="1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" fillId="0" borderId="5" xfId="0" applyFont="1" applyBorder="1" applyAlignment="1">
      <alignment horizontal="center" wrapText="1"/>
    </xf>
    <xf numFmtId="0" fontId="1" fillId="0" borderId="4" xfId="0" applyFont="1" applyBorder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2</xdr:col>
      <xdr:colOff>563880</xdr:colOff>
      <xdr:row>32</xdr:row>
      <xdr:rowOff>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33400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21</xdr:row>
      <xdr:rowOff>152400</xdr:rowOff>
    </xdr:from>
    <xdr:to>
      <xdr:col>3</xdr:col>
      <xdr:colOff>78105</xdr:colOff>
      <xdr:row>24</xdr:row>
      <xdr:rowOff>152400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6225" y="548640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14</xdr:row>
      <xdr:rowOff>47625</xdr:rowOff>
    </xdr:from>
    <xdr:to>
      <xdr:col>3</xdr:col>
      <xdr:colOff>49530</xdr:colOff>
      <xdr:row>17</xdr:row>
      <xdr:rowOff>47625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7650" y="576262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</xdr:colOff>
      <xdr:row>36</xdr:row>
      <xdr:rowOff>53340</xdr:rowOff>
    </xdr:from>
    <xdr:to>
      <xdr:col>2</xdr:col>
      <xdr:colOff>434340</xdr:colOff>
      <xdr:row>39</xdr:row>
      <xdr:rowOff>53340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060" y="51739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34</xdr:row>
      <xdr:rowOff>68580</xdr:rowOff>
    </xdr:from>
    <xdr:to>
      <xdr:col>2</xdr:col>
      <xdr:colOff>586740</xdr:colOff>
      <xdr:row>37</xdr:row>
      <xdr:rowOff>68580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1460" y="55549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37</xdr:row>
      <xdr:rowOff>114300</xdr:rowOff>
    </xdr:from>
    <xdr:to>
      <xdr:col>2</xdr:col>
      <xdr:colOff>601980</xdr:colOff>
      <xdr:row>40</xdr:row>
      <xdr:rowOff>114300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6700" y="651510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182879</xdr:colOff>
      <xdr:row>36</xdr:row>
      <xdr:rowOff>129540</xdr:rowOff>
    </xdr:from>
    <xdr:to>
      <xdr:col>3</xdr:col>
      <xdr:colOff>76199</xdr:colOff>
      <xdr:row>39</xdr:row>
      <xdr:rowOff>129540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2879" y="6444615"/>
          <a:ext cx="2036445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32</xdr:row>
      <xdr:rowOff>76200</xdr:rowOff>
    </xdr:from>
    <xdr:to>
      <xdr:col>2</xdr:col>
      <xdr:colOff>624840</xdr:colOff>
      <xdr:row>35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89560" y="61112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243840</xdr:colOff>
      <xdr:row>28</xdr:row>
      <xdr:rowOff>76200</xdr:rowOff>
    </xdr:from>
    <xdr:to>
      <xdr:col>2</xdr:col>
      <xdr:colOff>579120</xdr:colOff>
      <xdr:row>31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3840" y="62941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21</xdr:row>
      <xdr:rowOff>83820</xdr:rowOff>
    </xdr:from>
    <xdr:to>
      <xdr:col>2</xdr:col>
      <xdr:colOff>571500</xdr:colOff>
      <xdr:row>24</xdr:row>
      <xdr:rowOff>83820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36220" y="73990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19</xdr:row>
      <xdr:rowOff>91440</xdr:rowOff>
    </xdr:from>
    <xdr:to>
      <xdr:col>2</xdr:col>
      <xdr:colOff>457200</xdr:colOff>
      <xdr:row>22</xdr:row>
      <xdr:rowOff>91440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1920" y="64922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16</xdr:row>
      <xdr:rowOff>76200</xdr:rowOff>
    </xdr:from>
    <xdr:to>
      <xdr:col>3</xdr:col>
      <xdr:colOff>220980</xdr:colOff>
      <xdr:row>19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9100" y="655320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28</xdr:row>
      <xdr:rowOff>133350</xdr:rowOff>
    </xdr:from>
    <xdr:to>
      <xdr:col>3</xdr:col>
      <xdr:colOff>106680</xdr:colOff>
      <xdr:row>31</xdr:row>
      <xdr:rowOff>133350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04800" y="527685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15</xdr:row>
      <xdr:rowOff>180975</xdr:rowOff>
    </xdr:from>
    <xdr:to>
      <xdr:col>3</xdr:col>
      <xdr:colOff>182880</xdr:colOff>
      <xdr:row>18</xdr:row>
      <xdr:rowOff>180975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81000" y="589597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37</xdr:row>
      <xdr:rowOff>68580</xdr:rowOff>
    </xdr:from>
    <xdr:to>
      <xdr:col>2</xdr:col>
      <xdr:colOff>632460</xdr:colOff>
      <xdr:row>40</xdr:row>
      <xdr:rowOff>68580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97180" y="646938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35</xdr:row>
      <xdr:rowOff>0</xdr:rowOff>
    </xdr:from>
    <xdr:to>
      <xdr:col>3</xdr:col>
      <xdr:colOff>38100</xdr:colOff>
      <xdr:row>38</xdr:row>
      <xdr:rowOff>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495300" y="60350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39</xdr:row>
      <xdr:rowOff>60960</xdr:rowOff>
    </xdr:from>
    <xdr:to>
      <xdr:col>2</xdr:col>
      <xdr:colOff>480060</xdr:colOff>
      <xdr:row>42</xdr:row>
      <xdr:rowOff>60960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44780" y="609600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358140</xdr:colOff>
      <xdr:row>39</xdr:row>
      <xdr:rowOff>53340</xdr:rowOff>
    </xdr:from>
    <xdr:to>
      <xdr:col>2</xdr:col>
      <xdr:colOff>693420</xdr:colOff>
      <xdr:row>42</xdr:row>
      <xdr:rowOff>53340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58140" y="627126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403860</xdr:colOff>
      <xdr:row>37</xdr:row>
      <xdr:rowOff>137160</xdr:rowOff>
    </xdr:from>
    <xdr:to>
      <xdr:col>2</xdr:col>
      <xdr:colOff>739140</xdr:colOff>
      <xdr:row>40</xdr:row>
      <xdr:rowOff>137160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403860" y="653796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34</xdr:row>
      <xdr:rowOff>30480</xdr:rowOff>
    </xdr:from>
    <xdr:to>
      <xdr:col>2</xdr:col>
      <xdr:colOff>640080</xdr:colOff>
      <xdr:row>37</xdr:row>
      <xdr:rowOff>30480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304800" y="58826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21</xdr:row>
      <xdr:rowOff>76200</xdr:rowOff>
    </xdr:from>
    <xdr:to>
      <xdr:col>3</xdr:col>
      <xdr:colOff>152400</xdr:colOff>
      <xdr:row>24</xdr:row>
      <xdr:rowOff>76200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609600" y="629412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548640</xdr:colOff>
      <xdr:row>24</xdr:row>
      <xdr:rowOff>15240</xdr:rowOff>
    </xdr:from>
    <xdr:to>
      <xdr:col>3</xdr:col>
      <xdr:colOff>91440</xdr:colOff>
      <xdr:row>27</xdr:row>
      <xdr:rowOff>15240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48640" y="5501640"/>
          <a:ext cx="1920240" cy="54864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42</xdr:row>
      <xdr:rowOff>114300</xdr:rowOff>
    </xdr:from>
    <xdr:to>
      <xdr:col>2</xdr:col>
      <xdr:colOff>601980</xdr:colOff>
      <xdr:row>45</xdr:row>
      <xdr:rowOff>114300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38100" y="5638800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13</xdr:row>
      <xdr:rowOff>85725</xdr:rowOff>
    </xdr:from>
    <xdr:to>
      <xdr:col>2</xdr:col>
      <xdr:colOff>687705</xdr:colOff>
      <xdr:row>16</xdr:row>
      <xdr:rowOff>85725</xdr:rowOff>
    </xdr:to>
    <xdr:sp macro="" textlink="">
      <xdr:nvSpPr>
        <xdr:cNvPr id="2" name="Pil venst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825" y="5419725"/>
          <a:ext cx="2087880" cy="5715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b-NO" sz="1100"/>
            <a:t>Back to Table of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6D8620-58B6-4B14-8D47-1B6D6F32E533}">
  <we:reference id="wa104381504" version="1.0.0.0" store="nb-NO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D56"/>
  <sheetViews>
    <sheetView workbookViewId="0">
      <selection activeCell="D3" sqref="D3"/>
    </sheetView>
  </sheetViews>
  <sheetFormatPr defaultColWidth="8.85546875" defaultRowHeight="14.25"/>
  <cols>
    <col min="1" max="1" width="13" style="18" bestFit="1" customWidth="1"/>
    <col min="2" max="2" width="39.28515625" style="18" bestFit="1" customWidth="1"/>
    <col min="3" max="3" width="85.85546875" style="18" bestFit="1" customWidth="1"/>
    <col min="4" max="4" width="11.5703125" style="18" bestFit="1" customWidth="1"/>
    <col min="5" max="16384" width="8.85546875" style="18"/>
  </cols>
  <sheetData>
    <row r="1" spans="1:4" s="17" customFormat="1">
      <c r="A1" s="17" t="s">
        <v>0</v>
      </c>
      <c r="B1" s="17" t="s">
        <v>1</v>
      </c>
      <c r="C1" s="17" t="s">
        <v>2</v>
      </c>
      <c r="D1" s="17" t="s">
        <v>3</v>
      </c>
    </row>
    <row r="2" spans="1:4">
      <c r="A2" s="18">
        <v>1</v>
      </c>
      <c r="B2" s="19" t="s">
        <v>4</v>
      </c>
      <c r="D2" s="20" t="s">
        <v>0</v>
      </c>
    </row>
    <row r="3" spans="1:4" ht="42.75">
      <c r="A3" s="18">
        <v>2</v>
      </c>
      <c r="B3" s="19" t="s">
        <v>5</v>
      </c>
      <c r="C3" s="1" t="s">
        <v>6</v>
      </c>
      <c r="D3" s="20" t="s">
        <v>0</v>
      </c>
    </row>
    <row r="4" spans="1:4" ht="28.5">
      <c r="A4" s="18">
        <v>3</v>
      </c>
      <c r="B4" s="19" t="s">
        <v>7</v>
      </c>
      <c r="C4" s="15" t="s">
        <v>8</v>
      </c>
      <c r="D4" s="20" t="s">
        <v>0</v>
      </c>
    </row>
    <row r="5" spans="1:4" ht="28.5">
      <c r="A5" s="18">
        <v>4</v>
      </c>
      <c r="B5" s="19" t="s">
        <v>9</v>
      </c>
      <c r="C5" s="15" t="s">
        <v>10</v>
      </c>
      <c r="D5" s="20" t="s">
        <v>0</v>
      </c>
    </row>
    <row r="6" spans="1:4" ht="28.5">
      <c r="A6" s="18">
        <v>5</v>
      </c>
      <c r="B6" s="19" t="s">
        <v>11</v>
      </c>
      <c r="C6" s="1" t="s">
        <v>12</v>
      </c>
      <c r="D6" s="20" t="s">
        <v>0</v>
      </c>
    </row>
    <row r="7" spans="1:4" ht="28.5">
      <c r="A7" s="18">
        <v>6</v>
      </c>
      <c r="B7" s="19" t="s">
        <v>13</v>
      </c>
      <c r="C7" s="1" t="s">
        <v>14</v>
      </c>
      <c r="D7" s="20" t="s">
        <v>0</v>
      </c>
    </row>
    <row r="8" spans="1:4" ht="28.5">
      <c r="A8" s="18">
        <v>7</v>
      </c>
      <c r="B8" s="19" t="s">
        <v>15</v>
      </c>
      <c r="C8" s="1" t="s">
        <v>16</v>
      </c>
      <c r="D8" s="20" t="s">
        <v>0</v>
      </c>
    </row>
    <row r="9" spans="1:4" ht="28.5">
      <c r="A9" s="18">
        <v>8</v>
      </c>
      <c r="B9" s="19" t="s">
        <v>17</v>
      </c>
      <c r="C9" s="1" t="s">
        <v>18</v>
      </c>
      <c r="D9" s="20" t="s">
        <v>0</v>
      </c>
    </row>
    <row r="10" spans="1:4" ht="28.5">
      <c r="A10" s="18">
        <v>9</v>
      </c>
      <c r="B10" s="19" t="s">
        <v>19</v>
      </c>
      <c r="C10" s="1" t="s">
        <v>20</v>
      </c>
      <c r="D10" s="20" t="s">
        <v>0</v>
      </c>
    </row>
    <row r="11" spans="1:4" ht="28.5">
      <c r="A11" s="18">
        <v>10</v>
      </c>
      <c r="B11" s="19" t="s">
        <v>21</v>
      </c>
      <c r="C11" s="1" t="s">
        <v>22</v>
      </c>
      <c r="D11" s="20" t="s">
        <v>0</v>
      </c>
    </row>
    <row r="12" spans="1:4" ht="28.5">
      <c r="A12" s="18">
        <v>11</v>
      </c>
      <c r="B12" s="19" t="s">
        <v>23</v>
      </c>
      <c r="C12" s="1" t="s">
        <v>24</v>
      </c>
      <c r="D12" s="20" t="s">
        <v>0</v>
      </c>
    </row>
    <row r="13" spans="1:4" ht="28.5">
      <c r="A13" s="18">
        <v>12</v>
      </c>
      <c r="B13" s="19" t="s">
        <v>25</v>
      </c>
      <c r="C13" s="1" t="s">
        <v>26</v>
      </c>
      <c r="D13" s="20" t="s">
        <v>0</v>
      </c>
    </row>
    <row r="14" spans="1:4" ht="28.5">
      <c r="A14" s="18">
        <v>13</v>
      </c>
      <c r="B14" s="19" t="s">
        <v>27</v>
      </c>
      <c r="C14" s="16" t="s">
        <v>28</v>
      </c>
      <c r="D14" s="20" t="s">
        <v>0</v>
      </c>
    </row>
    <row r="15" spans="1:4" ht="28.5">
      <c r="A15" s="18">
        <v>14</v>
      </c>
      <c r="B15" s="19" t="s">
        <v>29</v>
      </c>
      <c r="C15" s="16" t="s">
        <v>30</v>
      </c>
      <c r="D15" s="20" t="s">
        <v>0</v>
      </c>
    </row>
    <row r="16" spans="1:4" ht="28.5">
      <c r="A16" s="18">
        <v>15</v>
      </c>
      <c r="B16" s="19" t="s">
        <v>31</v>
      </c>
      <c r="C16" s="16" t="s">
        <v>32</v>
      </c>
      <c r="D16" s="20" t="s">
        <v>0</v>
      </c>
    </row>
    <row r="17" spans="1:4" ht="28.5">
      <c r="A17" s="18">
        <v>16</v>
      </c>
      <c r="B17" s="19" t="s">
        <v>33</v>
      </c>
      <c r="C17" s="1" t="s">
        <v>34</v>
      </c>
      <c r="D17" s="20" t="s">
        <v>0</v>
      </c>
    </row>
    <row r="18" spans="1:4" ht="28.5">
      <c r="A18" s="18">
        <v>17</v>
      </c>
      <c r="B18" s="19" t="s">
        <v>35</v>
      </c>
      <c r="C18" s="1" t="s">
        <v>36</v>
      </c>
      <c r="D18" s="20" t="s">
        <v>0</v>
      </c>
    </row>
    <row r="19" spans="1:4" ht="28.5">
      <c r="A19" s="18">
        <v>18</v>
      </c>
      <c r="B19" s="19" t="s">
        <v>37</v>
      </c>
      <c r="C19" s="1" t="s">
        <v>38</v>
      </c>
      <c r="D19" s="20" t="s">
        <v>0</v>
      </c>
    </row>
    <row r="20" spans="1:4" ht="28.5">
      <c r="A20" s="18">
        <v>19</v>
      </c>
      <c r="B20" s="19" t="s">
        <v>39</v>
      </c>
      <c r="C20" s="1" t="s">
        <v>40</v>
      </c>
      <c r="D20" s="20" t="s">
        <v>0</v>
      </c>
    </row>
    <row r="21" spans="1:4" ht="28.5">
      <c r="A21" s="18">
        <v>20</v>
      </c>
      <c r="B21" s="19" t="s">
        <v>41</v>
      </c>
      <c r="C21" s="1" t="s">
        <v>42</v>
      </c>
      <c r="D21" s="20" t="s">
        <v>0</v>
      </c>
    </row>
    <row r="22" spans="1:4" ht="28.5">
      <c r="A22" s="18">
        <v>21</v>
      </c>
      <c r="B22" s="19" t="s">
        <v>43</v>
      </c>
      <c r="C22" s="1" t="s">
        <v>44</v>
      </c>
      <c r="D22" s="20" t="s">
        <v>0</v>
      </c>
    </row>
    <row r="23" spans="1:4" ht="28.5">
      <c r="A23" s="18">
        <v>22</v>
      </c>
      <c r="B23" s="19" t="s">
        <v>45</v>
      </c>
      <c r="C23" s="1" t="s">
        <v>46</v>
      </c>
      <c r="D23" s="20" t="s">
        <v>0</v>
      </c>
    </row>
    <row r="24" spans="1:4" ht="28.5">
      <c r="A24" s="18">
        <v>23</v>
      </c>
      <c r="B24" s="19" t="s">
        <v>47</v>
      </c>
      <c r="C24" s="1" t="s">
        <v>48</v>
      </c>
      <c r="D24" s="20" t="s">
        <v>0</v>
      </c>
    </row>
    <row r="25" spans="1:4" ht="28.5">
      <c r="A25" s="18">
        <v>24</v>
      </c>
      <c r="B25" s="19" t="s">
        <v>49</v>
      </c>
      <c r="C25" s="16" t="s">
        <v>50</v>
      </c>
      <c r="D25" s="20" t="s">
        <v>0</v>
      </c>
    </row>
    <row r="26" spans="1:4" ht="42.75">
      <c r="A26" s="18">
        <v>25</v>
      </c>
      <c r="B26" s="19" t="s">
        <v>51</v>
      </c>
      <c r="C26" s="16" t="s">
        <v>52</v>
      </c>
      <c r="D26" s="20" t="s">
        <v>0</v>
      </c>
    </row>
    <row r="28" spans="1:4">
      <c r="B28" s="46" t="s">
        <v>53</v>
      </c>
      <c r="C28" s="46" t="s">
        <v>54</v>
      </c>
    </row>
    <row r="29" spans="1:4">
      <c r="B29" s="18" t="s">
        <v>55</v>
      </c>
      <c r="C29" s="43" t="s">
        <v>56</v>
      </c>
    </row>
    <row r="30" spans="1:4">
      <c r="B30" s="18" t="s">
        <v>57</v>
      </c>
      <c r="C30" s="43" t="s">
        <v>58</v>
      </c>
    </row>
    <row r="31" spans="1:4">
      <c r="B31" s="18" t="s">
        <v>59</v>
      </c>
      <c r="C31" s="43" t="s">
        <v>60</v>
      </c>
    </row>
    <row r="32" spans="1:4">
      <c r="B32" s="18" t="s">
        <v>61</v>
      </c>
      <c r="C32" s="43" t="s">
        <v>62</v>
      </c>
    </row>
    <row r="33" spans="2:3">
      <c r="B33" s="18" t="s">
        <v>63</v>
      </c>
      <c r="C33" s="43" t="s">
        <v>64</v>
      </c>
    </row>
    <row r="34" spans="2:3">
      <c r="B34" s="18" t="s">
        <v>65</v>
      </c>
      <c r="C34" s="43" t="s">
        <v>66</v>
      </c>
    </row>
    <row r="35" spans="2:3">
      <c r="B35" s="18" t="s">
        <v>67</v>
      </c>
      <c r="C35" s="43" t="s">
        <v>68</v>
      </c>
    </row>
    <row r="36" spans="2:3">
      <c r="B36" s="18" t="s">
        <v>69</v>
      </c>
      <c r="C36" s="43" t="s">
        <v>70</v>
      </c>
    </row>
    <row r="37" spans="2:3" ht="15.75">
      <c r="B37" s="18" t="s">
        <v>71</v>
      </c>
      <c r="C37" s="43" t="s">
        <v>72</v>
      </c>
    </row>
    <row r="38" spans="2:3">
      <c r="B38" s="18" t="s">
        <v>73</v>
      </c>
      <c r="C38" s="45" t="s">
        <v>74</v>
      </c>
    </row>
    <row r="39" spans="2:3">
      <c r="B39" s="18" t="s">
        <v>75</v>
      </c>
      <c r="C39" s="43" t="s">
        <v>76</v>
      </c>
    </row>
    <row r="40" spans="2:3">
      <c r="B40" s="18" t="s">
        <v>77</v>
      </c>
      <c r="C40" s="43" t="s">
        <v>78</v>
      </c>
    </row>
    <row r="41" spans="2:3" ht="15.75">
      <c r="B41" s="18" t="s">
        <v>79</v>
      </c>
      <c r="C41" s="43" t="s">
        <v>80</v>
      </c>
    </row>
    <row r="42" spans="2:3">
      <c r="B42" s="18" t="s">
        <v>81</v>
      </c>
      <c r="C42" s="43" t="s">
        <v>82</v>
      </c>
    </row>
    <row r="43" spans="2:3">
      <c r="B43" s="18" t="s">
        <v>83</v>
      </c>
      <c r="C43" s="43" t="s">
        <v>84</v>
      </c>
    </row>
    <row r="44" spans="2:3">
      <c r="B44" s="18" t="s">
        <v>85</v>
      </c>
      <c r="C44" s="43" t="s">
        <v>86</v>
      </c>
    </row>
    <row r="45" spans="2:3">
      <c r="B45" s="18" t="s">
        <v>87</v>
      </c>
      <c r="C45" s="43" t="s">
        <v>88</v>
      </c>
    </row>
    <row r="46" spans="2:3">
      <c r="C46" s="43"/>
    </row>
    <row r="48" spans="2:3">
      <c r="B48" s="46" t="s">
        <v>89</v>
      </c>
      <c r="C48" s="46" t="s">
        <v>54</v>
      </c>
    </row>
    <row r="49" spans="2:3">
      <c r="B49" s="18" t="s">
        <v>90</v>
      </c>
      <c r="C49" s="43" t="s">
        <v>91</v>
      </c>
    </row>
    <row r="50" spans="2:3">
      <c r="B50" s="18" t="s">
        <v>92</v>
      </c>
      <c r="C50" s="43" t="s">
        <v>93</v>
      </c>
    </row>
    <row r="51" spans="2:3">
      <c r="B51" s="42" t="s">
        <v>94</v>
      </c>
      <c r="C51" s="43" t="s">
        <v>95</v>
      </c>
    </row>
    <row r="52" spans="2:3">
      <c r="B52" s="18" t="s">
        <v>96</v>
      </c>
      <c r="C52" s="43" t="s">
        <v>97</v>
      </c>
    </row>
    <row r="53" spans="2:3">
      <c r="B53" s="18" t="s">
        <v>98</v>
      </c>
      <c r="C53" s="43" t="s">
        <v>99</v>
      </c>
    </row>
    <row r="54" spans="2:3">
      <c r="B54" s="18" t="s">
        <v>100</v>
      </c>
      <c r="C54" s="43" t="s">
        <v>101</v>
      </c>
    </row>
    <row r="55" spans="2:3">
      <c r="B55" s="18" t="s">
        <v>102</v>
      </c>
      <c r="C55" s="44" t="s">
        <v>103</v>
      </c>
    </row>
    <row r="56" spans="2:3">
      <c r="C56" s="43"/>
    </row>
  </sheetData>
  <hyperlinks>
    <hyperlink ref="D3" location="'Salmonella poultry'!A1" display="Go To Sheet" xr:uid="{00000000-0004-0000-0000-000000000000}"/>
    <hyperlink ref="D4" location="'Indicator E. coli broiler'!A1" display="Go To Sheet" xr:uid="{00000000-0004-0000-0000-000001000000}"/>
    <hyperlink ref="D5" location="'Indicator E. coli fat. turkey'!A1" display="Go To Sheet" xr:uid="{00000000-0004-0000-0000-000002000000}"/>
    <hyperlink ref="D6" location="'Prevalence broiler meat'!A1" display="Go To Sheet" xr:uid="{00000000-0004-0000-0000-000003000000}"/>
    <hyperlink ref="D7" location="'Occurrence broiler meat'!A1" display="Go To Sheet" xr:uid="{00000000-0004-0000-0000-000004000000}"/>
    <hyperlink ref="D8" location="'Prevalence broilers'!A1" display="Go To Sheet" xr:uid="{00000000-0004-0000-0000-000005000000}"/>
    <hyperlink ref="D9" location="'Occurrence broilers'!A1" display="Go To Sheet" xr:uid="{00000000-0004-0000-0000-000006000000}"/>
    <hyperlink ref="D10" location="'Prevalence turkey meat'!A1" display="Go To Sheet" xr:uid="{00000000-0004-0000-0000-000007000000}"/>
    <hyperlink ref="D11" location="'Occurrence turkey meat'!A1" display="Go To Sheet" xr:uid="{00000000-0004-0000-0000-000008000000}"/>
    <hyperlink ref="D12" location="'Prevalence fattening turkeys'!A1" display="Go To Sheet" xr:uid="{00000000-0004-0000-0000-000009000000}"/>
    <hyperlink ref="D13" location="'Occurrence fattening turkeys'!A1" display="Go To Sheet" xr:uid="{00000000-0004-0000-0000-00000A000000}"/>
    <hyperlink ref="D14" location="'Salmonella fat. pigs and cattle'!A1" display="Go To Sheet" xr:uid="{00000000-0004-0000-0000-00000B000000}"/>
    <hyperlink ref="D15" location="'Indicator E. coli fattening pig'!A1" display="Go To Sheet" xr:uid="{00000000-0004-0000-0000-00000C000000}"/>
    <hyperlink ref="D16" location="'Indicator E. coli cattle'!A1" display="Go To Sheet" xr:uid="{00000000-0004-0000-0000-00000D000000}"/>
    <hyperlink ref="D17" location="'Prevalence pig meat'!A1" display="Go To Sheet" xr:uid="{00000000-0004-0000-0000-00000E000000}"/>
    <hyperlink ref="D18" location="'Occurrence pig meat'!A1" display="Go To Sheet" xr:uid="{00000000-0004-0000-0000-00000F000000}"/>
    <hyperlink ref="D19" location="'Prevalence fattening pigs'!A1" display="Go To Sheet" xr:uid="{00000000-0004-0000-0000-000010000000}"/>
    <hyperlink ref="D20" location="'Occurrence fattening pigs'!A1" display="Go To Sheet" xr:uid="{00000000-0004-0000-0000-000011000000}"/>
    <hyperlink ref="D21" location="'Prevalence cattle meat'!A1" display="Go To Sheet" xr:uid="{00000000-0004-0000-0000-000012000000}"/>
    <hyperlink ref="D22" location="'Occurrence cattle meat'!A1" display="Go To Sheet" xr:uid="{00000000-0004-0000-0000-000013000000}"/>
    <hyperlink ref="D23" location="'Prevalence cattle &lt;1 year'!A1" display="Go To Sheet" xr:uid="{00000000-0004-0000-0000-000014000000}"/>
    <hyperlink ref="D24" location="'Occurrence cattle &lt;1 year'!A1" display="Go To Sheet" xr:uid="{00000000-0004-0000-0000-000015000000}"/>
    <hyperlink ref="D25" location="'Samples investigated CP-prod'!A1" display="Go To Sheet" xr:uid="{00000000-0004-0000-0000-000016000000}"/>
    <hyperlink ref="D26" location="'Occurrence retail &amp; import meat'!A1" display="Go To Sheet" xr:uid="{00000000-0004-0000-0000-000017000000}"/>
    <hyperlink ref="D2" location="'Table of Contents'!A1" display="Go To Sheet" xr:uid="{00000000-0004-0000-0000-000018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8"/>
  <dimension ref="A1:Q28"/>
  <sheetViews>
    <sheetView workbookViewId="0">
      <selection sqref="A1:A2"/>
    </sheetView>
  </sheetViews>
  <sheetFormatPr defaultColWidth="11.42578125" defaultRowHeight="14.25"/>
  <cols>
    <col min="1" max="1" width="18.85546875" customWidth="1"/>
  </cols>
  <sheetData>
    <row r="1" spans="1:17" ht="16.149999999999999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5" t="s">
        <v>107</v>
      </c>
      <c r="G1" s="65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6.149999999999999" thickBot="1">
      <c r="A2" s="64"/>
      <c r="B2" s="64"/>
      <c r="C2" s="64"/>
      <c r="D2" s="4" t="s">
        <v>69</v>
      </c>
      <c r="E2" s="4" t="s">
        <v>113</v>
      </c>
      <c r="F2" s="4" t="s">
        <v>69</v>
      </c>
      <c r="G2" s="4" t="s">
        <v>113</v>
      </c>
      <c r="H2" s="4" t="s">
        <v>69</v>
      </c>
      <c r="I2" s="4" t="s">
        <v>113</v>
      </c>
      <c r="J2" s="4" t="s">
        <v>69</v>
      </c>
      <c r="K2" s="4" t="s">
        <v>113</v>
      </c>
      <c r="L2" s="4" t="s">
        <v>69</v>
      </c>
      <c r="M2" s="4" t="s">
        <v>113</v>
      </c>
      <c r="N2" s="4" t="s">
        <v>69</v>
      </c>
      <c r="O2" s="4" t="s">
        <v>113</v>
      </c>
      <c r="P2" s="4" t="s">
        <v>69</v>
      </c>
      <c r="Q2" s="4" t="s">
        <v>113</v>
      </c>
    </row>
    <row r="3" spans="1:17" ht="14.65" thickBot="1">
      <c r="A3" s="62" t="s">
        <v>114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>
      <c r="A4" t="s">
        <v>115</v>
      </c>
      <c r="B4">
        <v>174</v>
      </c>
      <c r="C4">
        <v>2</v>
      </c>
      <c r="D4">
        <v>2</v>
      </c>
      <c r="E4" s="3">
        <f>(D4/B4)*100</f>
        <v>1.1494252873563218</v>
      </c>
      <c r="F4">
        <v>2</v>
      </c>
      <c r="G4" s="3">
        <f>(F4/B4)*100</f>
        <v>1.1494252873563218</v>
      </c>
      <c r="L4">
        <v>0</v>
      </c>
      <c r="M4">
        <f>(L4/B4)*100</f>
        <v>0</v>
      </c>
      <c r="N4">
        <v>0</v>
      </c>
      <c r="O4">
        <f>(N4/B4)*100</f>
        <v>0</v>
      </c>
      <c r="P4">
        <v>0</v>
      </c>
      <c r="Q4">
        <f>(P4/B4)*100</f>
        <v>0</v>
      </c>
    </row>
    <row r="5" spans="1:17" ht="14.65" thickBot="1">
      <c r="A5" s="5" t="s">
        <v>116</v>
      </c>
      <c r="B5" s="5">
        <v>2</v>
      </c>
      <c r="C5" s="5">
        <v>2</v>
      </c>
      <c r="D5" s="5">
        <v>0</v>
      </c>
      <c r="E5" s="7">
        <f t="shared" ref="E5:E26" si="0">(D5/B5)*100</f>
        <v>0</v>
      </c>
      <c r="F5" s="5">
        <v>0</v>
      </c>
      <c r="G5" s="7">
        <f t="shared" ref="G5:G26" si="1">(F5/B5)*100</f>
        <v>0</v>
      </c>
      <c r="H5" s="5">
        <v>0</v>
      </c>
      <c r="I5" s="7">
        <v>0</v>
      </c>
      <c r="J5" s="5">
        <v>0</v>
      </c>
      <c r="K5" s="5">
        <v>0</v>
      </c>
      <c r="L5" s="5">
        <v>0</v>
      </c>
      <c r="M5" s="5">
        <f t="shared" ref="M5:M26" si="2">(L5/B5)*100</f>
        <v>0</v>
      </c>
      <c r="N5" s="5">
        <v>0</v>
      </c>
      <c r="O5" s="5">
        <f t="shared" ref="O5:O26" si="3">(N5/B5)*100</f>
        <v>0</v>
      </c>
      <c r="P5" s="5">
        <v>0</v>
      </c>
      <c r="Q5" s="5">
        <f t="shared" ref="Q5:Q26" si="4">(P5/B5)*100</f>
        <v>0</v>
      </c>
    </row>
    <row r="6" spans="1:17" ht="14.65" thickBot="1">
      <c r="A6" s="4" t="s">
        <v>117</v>
      </c>
      <c r="B6" s="5">
        <f>SUM(B4:B5)</f>
        <v>176</v>
      </c>
      <c r="C6" s="5">
        <f>SUM(C4:C5)</f>
        <v>4</v>
      </c>
      <c r="D6" s="5">
        <f>SUM(D4:D5)</f>
        <v>2</v>
      </c>
      <c r="E6" s="7">
        <f>(D6/B6)*100</f>
        <v>1.1363636363636365</v>
      </c>
      <c r="F6" s="5">
        <f>SUM(F4:F5)</f>
        <v>2</v>
      </c>
      <c r="G6" s="7">
        <f t="shared" si="1"/>
        <v>1.1363636363636365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</row>
    <row r="7" spans="1:17" ht="14.65" thickBot="1">
      <c r="A7" s="60" t="s">
        <v>118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</row>
    <row r="8" spans="1:17">
      <c r="A8" t="s">
        <v>119</v>
      </c>
      <c r="B8">
        <v>170</v>
      </c>
      <c r="C8">
        <v>1</v>
      </c>
      <c r="D8">
        <v>0</v>
      </c>
      <c r="E8" s="3">
        <f t="shared" si="0"/>
        <v>0</v>
      </c>
      <c r="F8">
        <v>0</v>
      </c>
      <c r="G8" s="3">
        <f t="shared" si="1"/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f t="shared" si="2"/>
        <v>0</v>
      </c>
      <c r="N8">
        <v>0</v>
      </c>
      <c r="O8">
        <f t="shared" si="3"/>
        <v>0</v>
      </c>
      <c r="P8">
        <v>0</v>
      </c>
      <c r="Q8">
        <f t="shared" si="4"/>
        <v>0</v>
      </c>
    </row>
    <row r="9" spans="1:17">
      <c r="A9" t="s">
        <v>120</v>
      </c>
      <c r="B9">
        <v>190</v>
      </c>
      <c r="C9">
        <v>21</v>
      </c>
      <c r="D9">
        <v>21</v>
      </c>
      <c r="E9" s="3">
        <f t="shared" si="0"/>
        <v>11.052631578947368</v>
      </c>
      <c r="F9">
        <v>21</v>
      </c>
      <c r="G9" s="3">
        <f t="shared" si="1"/>
        <v>11.052631578947368</v>
      </c>
      <c r="L9">
        <v>0</v>
      </c>
      <c r="M9">
        <f t="shared" si="2"/>
        <v>0</v>
      </c>
      <c r="N9">
        <v>0</v>
      </c>
      <c r="O9">
        <f t="shared" si="3"/>
        <v>0</v>
      </c>
      <c r="P9">
        <v>0</v>
      </c>
      <c r="Q9">
        <f t="shared" si="4"/>
        <v>0</v>
      </c>
    </row>
    <row r="10" spans="1:17">
      <c r="A10" t="s">
        <v>116</v>
      </c>
      <c r="B10">
        <v>4</v>
      </c>
      <c r="C10">
        <v>4</v>
      </c>
      <c r="D10">
        <v>0</v>
      </c>
      <c r="E10" s="3">
        <f t="shared" si="0"/>
        <v>0</v>
      </c>
      <c r="F10">
        <v>0</v>
      </c>
      <c r="G10" s="3">
        <f t="shared" si="1"/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f t="shared" si="2"/>
        <v>0</v>
      </c>
      <c r="N10">
        <v>0</v>
      </c>
      <c r="O10">
        <f t="shared" si="3"/>
        <v>0</v>
      </c>
      <c r="P10">
        <v>0</v>
      </c>
      <c r="Q10">
        <f t="shared" si="4"/>
        <v>0</v>
      </c>
    </row>
    <row r="11" spans="1:17">
      <c r="A11" t="s">
        <v>121</v>
      </c>
      <c r="B11">
        <v>21</v>
      </c>
      <c r="C11">
        <v>4</v>
      </c>
      <c r="D11">
        <v>4</v>
      </c>
      <c r="E11" s="3">
        <f t="shared" si="0"/>
        <v>19.047619047619047</v>
      </c>
      <c r="F11">
        <v>4</v>
      </c>
      <c r="G11" s="3">
        <f t="shared" si="1"/>
        <v>19.047619047619047</v>
      </c>
      <c r="H11">
        <v>0</v>
      </c>
      <c r="I11">
        <v>0</v>
      </c>
      <c r="J11">
        <v>0</v>
      </c>
      <c r="K11">
        <v>0</v>
      </c>
      <c r="L11">
        <v>0</v>
      </c>
      <c r="M11">
        <f t="shared" si="2"/>
        <v>0</v>
      </c>
      <c r="N11">
        <v>0</v>
      </c>
      <c r="O11">
        <f t="shared" si="3"/>
        <v>0</v>
      </c>
      <c r="P11">
        <v>0</v>
      </c>
      <c r="Q11">
        <f t="shared" si="4"/>
        <v>0</v>
      </c>
    </row>
    <row r="12" spans="1:17">
      <c r="A12" t="s">
        <v>122</v>
      </c>
      <c r="B12">
        <v>123</v>
      </c>
      <c r="C12">
        <v>1</v>
      </c>
      <c r="D12">
        <v>0</v>
      </c>
      <c r="E12" s="3">
        <f t="shared" si="0"/>
        <v>0</v>
      </c>
      <c r="F12">
        <v>0</v>
      </c>
      <c r="G12" s="3">
        <f t="shared" si="1"/>
        <v>0</v>
      </c>
      <c r="L12">
        <v>0</v>
      </c>
      <c r="M12">
        <f t="shared" si="2"/>
        <v>0</v>
      </c>
      <c r="N12">
        <v>0</v>
      </c>
      <c r="O12">
        <f t="shared" si="3"/>
        <v>0</v>
      </c>
      <c r="P12">
        <v>0</v>
      </c>
      <c r="Q12">
        <f t="shared" si="4"/>
        <v>0</v>
      </c>
    </row>
    <row r="13" spans="1:17" ht="14.65" thickBot="1">
      <c r="A13" s="5" t="s">
        <v>123</v>
      </c>
      <c r="B13" s="5">
        <v>167</v>
      </c>
      <c r="C13" s="5">
        <v>1</v>
      </c>
      <c r="D13" s="5">
        <v>1</v>
      </c>
      <c r="E13" s="7">
        <f t="shared" si="0"/>
        <v>0.5988023952095809</v>
      </c>
      <c r="F13" s="5">
        <v>1</v>
      </c>
      <c r="G13" s="7">
        <f t="shared" si="1"/>
        <v>0.5988023952095809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f t="shared" si="2"/>
        <v>0</v>
      </c>
      <c r="N13" s="5">
        <v>0</v>
      </c>
      <c r="O13" s="5">
        <f t="shared" si="3"/>
        <v>0</v>
      </c>
      <c r="P13" s="5">
        <v>0</v>
      </c>
      <c r="Q13" s="5">
        <f t="shared" si="4"/>
        <v>0</v>
      </c>
    </row>
    <row r="14" spans="1:17" ht="14.65" thickBot="1">
      <c r="A14" s="4" t="s">
        <v>124</v>
      </c>
      <c r="B14" s="4">
        <f>SUM(B8:B13)</f>
        <v>675</v>
      </c>
      <c r="C14" s="4">
        <f t="shared" ref="C14:D14" si="5">SUM(C8:C13)</f>
        <v>32</v>
      </c>
      <c r="D14" s="4">
        <f t="shared" si="5"/>
        <v>26</v>
      </c>
      <c r="E14" s="9">
        <f t="shared" si="0"/>
        <v>3.8518518518518521</v>
      </c>
      <c r="F14" s="4">
        <f>SUM(F8:F13)</f>
        <v>26</v>
      </c>
      <c r="G14" s="9">
        <f t="shared" si="1"/>
        <v>3.8518518518518521</v>
      </c>
      <c r="H14" s="4">
        <v>0</v>
      </c>
      <c r="I14" s="4">
        <v>0</v>
      </c>
      <c r="J14" s="4">
        <v>0</v>
      </c>
      <c r="K14" s="4">
        <v>0</v>
      </c>
      <c r="L14" s="4">
        <f>SUM(L8:L13)</f>
        <v>0</v>
      </c>
      <c r="M14" s="4">
        <f t="shared" si="2"/>
        <v>0</v>
      </c>
      <c r="N14" s="4">
        <f>SUM(N8:N13)</f>
        <v>0</v>
      </c>
      <c r="O14" s="4">
        <f t="shared" si="3"/>
        <v>0</v>
      </c>
      <c r="P14" s="4">
        <f>SUM(P8:P13)</f>
        <v>0</v>
      </c>
      <c r="Q14" s="4">
        <f t="shared" si="4"/>
        <v>0</v>
      </c>
    </row>
    <row r="15" spans="1:17" ht="14.65" thickBot="1">
      <c r="A15" s="60" t="s">
        <v>125</v>
      </c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</row>
    <row r="16" spans="1:17" ht="14.65" thickBot="1">
      <c r="A16" s="5" t="s">
        <v>120</v>
      </c>
      <c r="B16" s="5">
        <v>184</v>
      </c>
      <c r="C16" s="5">
        <v>15</v>
      </c>
      <c r="D16" s="5">
        <v>15</v>
      </c>
      <c r="E16" s="7">
        <f t="shared" si="0"/>
        <v>8.1521739130434785</v>
      </c>
      <c r="F16" s="5">
        <v>15</v>
      </c>
      <c r="G16" s="7">
        <f t="shared" si="1"/>
        <v>8.1521739130434785</v>
      </c>
      <c r="H16" s="5"/>
      <c r="I16" s="5"/>
      <c r="J16" s="5"/>
      <c r="K16" s="5"/>
      <c r="L16" s="5">
        <v>0</v>
      </c>
      <c r="M16" s="5">
        <f t="shared" si="2"/>
        <v>0</v>
      </c>
      <c r="N16" s="5">
        <v>0</v>
      </c>
      <c r="O16" s="5">
        <f t="shared" si="3"/>
        <v>0</v>
      </c>
      <c r="P16" s="5">
        <v>0</v>
      </c>
      <c r="Q16" s="5">
        <f t="shared" si="4"/>
        <v>0</v>
      </c>
    </row>
    <row r="17" spans="1:17" ht="14.65" thickBot="1">
      <c r="A17" s="4" t="s">
        <v>126</v>
      </c>
      <c r="B17" s="4">
        <v>184</v>
      </c>
      <c r="C17" s="4">
        <v>15</v>
      </c>
      <c r="D17" s="4">
        <v>15</v>
      </c>
      <c r="E17" s="9">
        <f t="shared" si="0"/>
        <v>8.1521739130434785</v>
      </c>
      <c r="F17" s="4">
        <v>15</v>
      </c>
      <c r="G17" s="9">
        <f t="shared" si="1"/>
        <v>8.1521739130434785</v>
      </c>
      <c r="H17" s="4"/>
      <c r="I17" s="4"/>
      <c r="J17" s="4"/>
      <c r="K17" s="4"/>
      <c r="L17" s="4">
        <v>0</v>
      </c>
      <c r="M17" s="4">
        <f t="shared" si="2"/>
        <v>0</v>
      </c>
      <c r="N17" s="4">
        <v>0</v>
      </c>
      <c r="O17" s="4">
        <f t="shared" si="3"/>
        <v>0</v>
      </c>
      <c r="P17" s="4">
        <v>0</v>
      </c>
      <c r="Q17" s="4">
        <f t="shared" si="4"/>
        <v>0</v>
      </c>
    </row>
    <row r="18" spans="1:17" ht="14.65" thickBot="1">
      <c r="A18" s="60" t="s">
        <v>127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>
      <c r="A19" t="s">
        <v>128</v>
      </c>
      <c r="B19">
        <v>5</v>
      </c>
      <c r="C19">
        <v>2</v>
      </c>
      <c r="D19">
        <v>2</v>
      </c>
      <c r="E19" s="3">
        <f t="shared" si="0"/>
        <v>40</v>
      </c>
      <c r="F19">
        <v>0</v>
      </c>
      <c r="G19" s="3">
        <f t="shared" si="1"/>
        <v>0</v>
      </c>
      <c r="L19">
        <v>2</v>
      </c>
      <c r="M19" s="3">
        <f t="shared" si="2"/>
        <v>40</v>
      </c>
      <c r="N19">
        <v>0</v>
      </c>
      <c r="O19">
        <f t="shared" si="3"/>
        <v>0</v>
      </c>
      <c r="P19">
        <v>0</v>
      </c>
      <c r="Q19">
        <f t="shared" si="4"/>
        <v>0</v>
      </c>
    </row>
    <row r="20" spans="1:17">
      <c r="A20" t="s">
        <v>129</v>
      </c>
      <c r="B20">
        <v>8</v>
      </c>
      <c r="C20">
        <v>5</v>
      </c>
      <c r="D20">
        <v>5</v>
      </c>
      <c r="E20" s="3">
        <f t="shared" si="0"/>
        <v>62.5</v>
      </c>
      <c r="F20">
        <v>0</v>
      </c>
      <c r="G20" s="3">
        <f t="shared" si="1"/>
        <v>0</v>
      </c>
      <c r="H20">
        <v>0</v>
      </c>
      <c r="I20">
        <v>0</v>
      </c>
      <c r="J20">
        <v>0</v>
      </c>
      <c r="K20">
        <v>0</v>
      </c>
      <c r="L20">
        <v>5</v>
      </c>
      <c r="M20" s="3">
        <f t="shared" si="2"/>
        <v>62.5</v>
      </c>
      <c r="N20">
        <v>0</v>
      </c>
      <c r="O20">
        <f t="shared" si="3"/>
        <v>0</v>
      </c>
      <c r="P20">
        <v>0</v>
      </c>
      <c r="Q20">
        <f t="shared" si="4"/>
        <v>0</v>
      </c>
    </row>
    <row r="21" spans="1:17">
      <c r="A21" t="s">
        <v>122</v>
      </c>
      <c r="B21">
        <v>32</v>
      </c>
      <c r="C21">
        <v>27</v>
      </c>
      <c r="D21">
        <v>27</v>
      </c>
      <c r="E21" s="3">
        <f t="shared" si="0"/>
        <v>84.375</v>
      </c>
      <c r="F21">
        <v>2</v>
      </c>
      <c r="G21" s="3">
        <f t="shared" si="1"/>
        <v>6.25</v>
      </c>
      <c r="L21">
        <v>25</v>
      </c>
      <c r="M21" s="3">
        <f t="shared" si="2"/>
        <v>78.125</v>
      </c>
      <c r="N21">
        <v>0</v>
      </c>
      <c r="O21">
        <f t="shared" si="3"/>
        <v>0</v>
      </c>
      <c r="P21">
        <v>0</v>
      </c>
      <c r="Q21">
        <f t="shared" si="4"/>
        <v>0</v>
      </c>
    </row>
    <row r="22" spans="1:17" ht="14.65" thickBot="1">
      <c r="A22" s="5" t="s">
        <v>130</v>
      </c>
      <c r="B22" s="5">
        <v>12</v>
      </c>
      <c r="C22" s="5">
        <v>8</v>
      </c>
      <c r="D22" s="5">
        <v>8</v>
      </c>
      <c r="E22" s="7">
        <f t="shared" si="0"/>
        <v>66.666666666666657</v>
      </c>
      <c r="F22" s="5">
        <v>2</v>
      </c>
      <c r="G22" s="7">
        <f t="shared" si="1"/>
        <v>16.666666666666664</v>
      </c>
      <c r="H22" s="5">
        <v>0</v>
      </c>
      <c r="I22" s="5">
        <v>0</v>
      </c>
      <c r="J22" s="5">
        <v>0</v>
      </c>
      <c r="K22" s="5">
        <v>0</v>
      </c>
      <c r="L22" s="5">
        <v>6</v>
      </c>
      <c r="M22" s="7">
        <f t="shared" si="2"/>
        <v>50</v>
      </c>
      <c r="N22" s="5">
        <v>0</v>
      </c>
      <c r="O22" s="5">
        <f t="shared" si="3"/>
        <v>0</v>
      </c>
      <c r="P22" s="5">
        <v>0</v>
      </c>
      <c r="Q22" s="5">
        <f t="shared" si="4"/>
        <v>0</v>
      </c>
    </row>
    <row r="23" spans="1:17" ht="14.65" thickBot="1">
      <c r="A23" s="4" t="s">
        <v>131</v>
      </c>
      <c r="B23" s="4">
        <f>SUM(B19:B22)</f>
        <v>57</v>
      </c>
      <c r="C23" s="4">
        <f t="shared" ref="C23:D23" si="6">SUM(C19:C22)</f>
        <v>42</v>
      </c>
      <c r="D23" s="4">
        <f t="shared" si="6"/>
        <v>42</v>
      </c>
      <c r="E23" s="9">
        <f t="shared" si="0"/>
        <v>73.68421052631578</v>
      </c>
      <c r="F23" s="4">
        <f>SUM(F19:F22)</f>
        <v>4</v>
      </c>
      <c r="G23" s="9">
        <f t="shared" si="1"/>
        <v>7.0175438596491224</v>
      </c>
      <c r="H23" s="4">
        <v>0</v>
      </c>
      <c r="I23" s="4">
        <v>0</v>
      </c>
      <c r="J23" s="4">
        <v>0</v>
      </c>
      <c r="K23" s="4">
        <v>0</v>
      </c>
      <c r="L23" s="4">
        <f>SUM(L19:L22)</f>
        <v>38</v>
      </c>
      <c r="M23" s="9">
        <f t="shared" si="2"/>
        <v>66.666666666666657</v>
      </c>
      <c r="N23" s="4">
        <v>0</v>
      </c>
      <c r="O23" s="4">
        <v>0</v>
      </c>
      <c r="P23" s="4">
        <v>0</v>
      </c>
      <c r="Q23" s="4">
        <v>0</v>
      </c>
    </row>
    <row r="24" spans="1:17" ht="14.65" thickBot="1">
      <c r="A24" s="60" t="s">
        <v>132</v>
      </c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</row>
    <row r="25" spans="1:17" ht="14.65" thickBot="1">
      <c r="A25" s="5" t="s">
        <v>122</v>
      </c>
      <c r="B25" s="5">
        <v>3</v>
      </c>
      <c r="C25" s="5">
        <v>2</v>
      </c>
      <c r="D25" s="5">
        <v>2</v>
      </c>
      <c r="E25" s="7">
        <f t="shared" si="0"/>
        <v>66.666666666666657</v>
      </c>
      <c r="F25" s="5">
        <v>0</v>
      </c>
      <c r="G25" s="7">
        <f t="shared" si="1"/>
        <v>0</v>
      </c>
      <c r="H25" s="5"/>
      <c r="I25" s="5"/>
      <c r="J25" s="5"/>
      <c r="K25" s="5"/>
      <c r="L25" s="5">
        <v>2</v>
      </c>
      <c r="M25" s="7">
        <f t="shared" si="2"/>
        <v>66.666666666666657</v>
      </c>
      <c r="N25" s="5">
        <v>0</v>
      </c>
      <c r="O25" s="5">
        <f t="shared" si="3"/>
        <v>0</v>
      </c>
      <c r="P25" s="5">
        <v>0</v>
      </c>
      <c r="Q25" s="5">
        <f t="shared" si="4"/>
        <v>0</v>
      </c>
    </row>
    <row r="26" spans="1:17" ht="14.65" thickBot="1">
      <c r="A26" s="4" t="s">
        <v>126</v>
      </c>
      <c r="B26" s="4">
        <v>3</v>
      </c>
      <c r="C26" s="4">
        <v>2</v>
      </c>
      <c r="D26" s="4">
        <v>2</v>
      </c>
      <c r="E26" s="9">
        <f t="shared" si="0"/>
        <v>66.666666666666657</v>
      </c>
      <c r="F26" s="4">
        <v>0</v>
      </c>
      <c r="G26" s="9">
        <f t="shared" si="1"/>
        <v>0</v>
      </c>
      <c r="H26" s="4"/>
      <c r="I26" s="4"/>
      <c r="J26" s="4"/>
      <c r="K26" s="4"/>
      <c r="L26" s="4">
        <v>2</v>
      </c>
      <c r="M26" s="9">
        <f t="shared" si="2"/>
        <v>66.666666666666657</v>
      </c>
      <c r="N26" s="4">
        <v>0</v>
      </c>
      <c r="O26" s="4">
        <f t="shared" si="3"/>
        <v>0</v>
      </c>
      <c r="P26" s="4">
        <v>0</v>
      </c>
      <c r="Q26" s="4">
        <f t="shared" si="4"/>
        <v>0</v>
      </c>
    </row>
    <row r="28" spans="1:17">
      <c r="A28" t="s">
        <v>133</v>
      </c>
    </row>
  </sheetData>
  <mergeCells count="15">
    <mergeCell ref="A15:Q15"/>
    <mergeCell ref="A18:Q18"/>
    <mergeCell ref="A24:Q24"/>
    <mergeCell ref="J1:K1"/>
    <mergeCell ref="L1:M1"/>
    <mergeCell ref="N1:O1"/>
    <mergeCell ref="P1:Q1"/>
    <mergeCell ref="A3:Q3"/>
    <mergeCell ref="A7:Q7"/>
    <mergeCell ref="A1:A2"/>
    <mergeCell ref="B1:B2"/>
    <mergeCell ref="C1:C2"/>
    <mergeCell ref="D1:E1"/>
    <mergeCell ref="F1:G1"/>
    <mergeCell ref="H1:I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0"/>
  <dimension ref="A1:Q21"/>
  <sheetViews>
    <sheetView workbookViewId="0">
      <selection activeCell="H28" sqref="H28"/>
    </sheetView>
  </sheetViews>
  <sheetFormatPr defaultColWidth="11.42578125" defaultRowHeight="14.25"/>
  <cols>
    <col min="1" max="1" width="25.28515625" customWidth="1"/>
  </cols>
  <sheetData>
    <row r="1" spans="1:17" ht="14.65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1" t="s">
        <v>107</v>
      </c>
      <c r="G1" s="61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4.65" thickBot="1">
      <c r="A2" s="64"/>
      <c r="B2" s="64"/>
      <c r="C2" s="64"/>
      <c r="D2" s="4" t="s">
        <v>69</v>
      </c>
      <c r="E2" s="4" t="s">
        <v>87</v>
      </c>
      <c r="F2" s="4" t="s">
        <v>69</v>
      </c>
      <c r="G2" s="4" t="s">
        <v>87</v>
      </c>
      <c r="H2" s="4" t="s">
        <v>69</v>
      </c>
      <c r="I2" s="4" t="s">
        <v>87</v>
      </c>
      <c r="J2" s="4" t="s">
        <v>69</v>
      </c>
      <c r="K2" s="4" t="s">
        <v>87</v>
      </c>
      <c r="L2" s="4" t="s">
        <v>69</v>
      </c>
      <c r="M2" s="4" t="s">
        <v>87</v>
      </c>
      <c r="N2" s="4" t="s">
        <v>69</v>
      </c>
      <c r="O2" s="4" t="s">
        <v>87</v>
      </c>
      <c r="P2" s="4" t="s">
        <v>69</v>
      </c>
      <c r="Q2" s="4" t="s">
        <v>87</v>
      </c>
    </row>
    <row r="3" spans="1:17">
      <c r="A3" t="s">
        <v>134</v>
      </c>
      <c r="B3">
        <v>168</v>
      </c>
      <c r="C3" s="2">
        <v>6</v>
      </c>
      <c r="D3" s="2">
        <v>6</v>
      </c>
      <c r="E3" s="3">
        <f>(D3/B3)*100</f>
        <v>3.5714285714285712</v>
      </c>
      <c r="F3" s="2">
        <v>5</v>
      </c>
      <c r="G3" s="3">
        <f>(F3/B3)*100</f>
        <v>2.9761904761904758</v>
      </c>
      <c r="H3" s="2">
        <v>0</v>
      </c>
      <c r="I3" s="3">
        <f>(H3/B3)*100</f>
        <v>0</v>
      </c>
      <c r="J3">
        <v>1</v>
      </c>
      <c r="K3" s="3">
        <f>(J3/B3)*100</f>
        <v>0.59523809523809523</v>
      </c>
      <c r="L3" s="2">
        <v>0</v>
      </c>
      <c r="M3" s="3">
        <f>(L3/B3)*100</f>
        <v>0</v>
      </c>
      <c r="N3" s="2">
        <v>1</v>
      </c>
      <c r="O3" s="3">
        <f>(N3/B3)*100</f>
        <v>0.59523809523809523</v>
      </c>
      <c r="P3" s="2">
        <v>0</v>
      </c>
      <c r="Q3">
        <f>(P3/B3)*100</f>
        <v>0</v>
      </c>
    </row>
    <row r="4" spans="1:17">
      <c r="A4" t="s">
        <v>135</v>
      </c>
      <c r="B4">
        <v>110</v>
      </c>
      <c r="C4" s="2">
        <v>11</v>
      </c>
      <c r="D4" s="2">
        <v>7</v>
      </c>
      <c r="E4" s="3">
        <f t="shared" ref="E4:E19" si="0">(D4/B4)*100</f>
        <v>6.3636363636363633</v>
      </c>
      <c r="F4" s="2">
        <v>6</v>
      </c>
      <c r="G4" s="3">
        <f t="shared" ref="G4:G19" si="1">(F4/B4)*100</f>
        <v>5.4545454545454541</v>
      </c>
      <c r="H4" s="2">
        <v>1</v>
      </c>
      <c r="I4" s="3">
        <f t="shared" ref="I4:I19" si="2">(H4/B4)*100</f>
        <v>0.90909090909090906</v>
      </c>
      <c r="J4">
        <v>1</v>
      </c>
      <c r="K4" s="3">
        <f t="shared" ref="K4:K19" si="3">(J4/B4)*100</f>
        <v>0.90909090909090906</v>
      </c>
      <c r="L4" s="2">
        <v>1</v>
      </c>
      <c r="M4" s="3">
        <f t="shared" ref="M4:M19" si="4">(L4/B4)*100</f>
        <v>0.90909090909090906</v>
      </c>
      <c r="N4" s="2">
        <v>0</v>
      </c>
      <c r="O4" s="3">
        <f t="shared" ref="O4:O19" si="5">(N4/B4)*100</f>
        <v>0</v>
      </c>
      <c r="P4" s="2">
        <v>0</v>
      </c>
      <c r="Q4">
        <f t="shared" ref="Q4:Q19" si="6">(P4/B4)*100</f>
        <v>0</v>
      </c>
    </row>
    <row r="5" spans="1:17">
      <c r="A5" t="s">
        <v>136</v>
      </c>
      <c r="B5">
        <v>195</v>
      </c>
      <c r="C5" s="2">
        <v>1</v>
      </c>
      <c r="D5" s="2">
        <v>0</v>
      </c>
      <c r="E5" s="3">
        <f t="shared" si="0"/>
        <v>0</v>
      </c>
      <c r="F5" s="2">
        <v>0</v>
      </c>
      <c r="G5" s="3">
        <f t="shared" si="1"/>
        <v>0</v>
      </c>
      <c r="H5" s="2">
        <v>0</v>
      </c>
      <c r="I5" s="3">
        <f t="shared" si="2"/>
        <v>0</v>
      </c>
      <c r="J5">
        <v>0</v>
      </c>
      <c r="K5">
        <f t="shared" si="3"/>
        <v>0</v>
      </c>
      <c r="L5" s="2">
        <v>0</v>
      </c>
      <c r="M5" s="3">
        <f t="shared" si="4"/>
        <v>0</v>
      </c>
      <c r="N5" s="2">
        <v>0</v>
      </c>
      <c r="O5" s="3">
        <f t="shared" si="5"/>
        <v>0</v>
      </c>
      <c r="P5" s="2">
        <v>0</v>
      </c>
      <c r="Q5">
        <f t="shared" si="6"/>
        <v>0</v>
      </c>
    </row>
    <row r="6" spans="1:17">
      <c r="A6" t="s">
        <v>137</v>
      </c>
      <c r="B6">
        <v>149</v>
      </c>
      <c r="C6" s="2">
        <v>7</v>
      </c>
      <c r="D6" s="2">
        <v>3</v>
      </c>
      <c r="E6" s="3">
        <f t="shared" si="0"/>
        <v>2.0134228187919461</v>
      </c>
      <c r="F6" s="2">
        <v>1</v>
      </c>
      <c r="G6" s="3">
        <f t="shared" si="1"/>
        <v>0.67114093959731547</v>
      </c>
      <c r="H6" s="2">
        <v>0</v>
      </c>
      <c r="I6" s="3">
        <f t="shared" si="2"/>
        <v>0</v>
      </c>
      <c r="J6">
        <v>0</v>
      </c>
      <c r="K6">
        <f t="shared" si="3"/>
        <v>0</v>
      </c>
      <c r="L6" s="2">
        <v>0</v>
      </c>
      <c r="M6" s="3">
        <f t="shared" si="4"/>
        <v>0</v>
      </c>
      <c r="N6" s="2">
        <v>2</v>
      </c>
      <c r="O6" s="3">
        <f t="shared" si="5"/>
        <v>1.3422818791946309</v>
      </c>
      <c r="P6" s="2">
        <v>0</v>
      </c>
      <c r="Q6">
        <f t="shared" si="6"/>
        <v>0</v>
      </c>
    </row>
    <row r="7" spans="1:17">
      <c r="A7" t="s">
        <v>128</v>
      </c>
      <c r="B7">
        <v>274</v>
      </c>
      <c r="C7" s="2">
        <v>6</v>
      </c>
      <c r="D7" s="2">
        <v>3</v>
      </c>
      <c r="E7" s="3">
        <f t="shared" si="0"/>
        <v>1.0948905109489051</v>
      </c>
      <c r="F7" s="2">
        <v>3</v>
      </c>
      <c r="G7" s="3">
        <f t="shared" si="1"/>
        <v>1.0948905109489051</v>
      </c>
      <c r="I7" s="3"/>
      <c r="L7" s="2">
        <v>0</v>
      </c>
      <c r="M7" s="3">
        <f t="shared" si="4"/>
        <v>0</v>
      </c>
      <c r="N7" s="2">
        <v>0</v>
      </c>
      <c r="O7" s="3">
        <f t="shared" si="5"/>
        <v>0</v>
      </c>
      <c r="P7" s="2">
        <v>0</v>
      </c>
      <c r="Q7">
        <f t="shared" si="6"/>
        <v>0</v>
      </c>
    </row>
    <row r="8" spans="1:17">
      <c r="A8" t="s">
        <v>138</v>
      </c>
      <c r="B8">
        <v>121</v>
      </c>
      <c r="C8" s="2">
        <v>1</v>
      </c>
      <c r="D8" s="2">
        <v>1</v>
      </c>
      <c r="E8" s="3">
        <f t="shared" si="0"/>
        <v>0.82644628099173556</v>
      </c>
      <c r="F8" s="2">
        <v>0</v>
      </c>
      <c r="G8" s="3">
        <f t="shared" si="1"/>
        <v>0</v>
      </c>
      <c r="H8" s="2">
        <v>0</v>
      </c>
      <c r="I8" s="3">
        <f t="shared" si="2"/>
        <v>0</v>
      </c>
      <c r="J8">
        <v>0</v>
      </c>
      <c r="K8">
        <f t="shared" si="3"/>
        <v>0</v>
      </c>
      <c r="L8" s="2">
        <v>1</v>
      </c>
      <c r="M8" s="3">
        <f t="shared" si="4"/>
        <v>0.82644628099173556</v>
      </c>
      <c r="N8" s="2">
        <v>0</v>
      </c>
      <c r="O8" s="3">
        <f t="shared" si="5"/>
        <v>0</v>
      </c>
      <c r="P8" s="2">
        <v>0</v>
      </c>
      <c r="Q8">
        <f t="shared" si="6"/>
        <v>0</v>
      </c>
    </row>
    <row r="9" spans="1:17">
      <c r="A9" t="s">
        <v>119</v>
      </c>
      <c r="B9">
        <v>170</v>
      </c>
      <c r="C9" s="2">
        <v>1</v>
      </c>
      <c r="D9" s="2">
        <v>1</v>
      </c>
      <c r="E9" s="3">
        <f t="shared" si="0"/>
        <v>0.58823529411764708</v>
      </c>
      <c r="F9" s="2">
        <v>1</v>
      </c>
      <c r="G9" s="3">
        <f t="shared" si="1"/>
        <v>0.58823529411764708</v>
      </c>
      <c r="H9" s="2">
        <v>0</v>
      </c>
      <c r="I9" s="3">
        <f t="shared" si="2"/>
        <v>0</v>
      </c>
      <c r="J9">
        <v>0</v>
      </c>
      <c r="K9">
        <f t="shared" si="3"/>
        <v>0</v>
      </c>
      <c r="L9" s="2">
        <v>0</v>
      </c>
      <c r="M9" s="3">
        <f t="shared" si="4"/>
        <v>0</v>
      </c>
      <c r="N9" s="2">
        <v>0</v>
      </c>
      <c r="O9" s="3">
        <f t="shared" si="5"/>
        <v>0</v>
      </c>
      <c r="P9" s="2">
        <v>0</v>
      </c>
      <c r="Q9">
        <f t="shared" si="6"/>
        <v>0</v>
      </c>
    </row>
    <row r="10" spans="1:17">
      <c r="A10" t="s">
        <v>129</v>
      </c>
      <c r="B10">
        <v>170</v>
      </c>
      <c r="C10" s="2">
        <v>1</v>
      </c>
      <c r="D10" s="2">
        <v>1</v>
      </c>
      <c r="E10" s="3">
        <f t="shared" si="0"/>
        <v>0.58823529411764708</v>
      </c>
      <c r="F10" s="2">
        <v>0</v>
      </c>
      <c r="G10" s="3">
        <f t="shared" si="1"/>
        <v>0</v>
      </c>
      <c r="H10" s="2">
        <v>0</v>
      </c>
      <c r="I10" s="3">
        <f t="shared" si="2"/>
        <v>0</v>
      </c>
      <c r="J10">
        <v>0</v>
      </c>
      <c r="K10">
        <f t="shared" si="3"/>
        <v>0</v>
      </c>
      <c r="L10" s="2">
        <v>1</v>
      </c>
      <c r="M10" s="3">
        <f t="shared" si="4"/>
        <v>0.58823529411764708</v>
      </c>
      <c r="N10" s="2">
        <v>0</v>
      </c>
      <c r="O10" s="3">
        <f t="shared" si="5"/>
        <v>0</v>
      </c>
      <c r="P10" s="2">
        <v>0</v>
      </c>
      <c r="Q10">
        <f t="shared" si="6"/>
        <v>0</v>
      </c>
    </row>
    <row r="11" spans="1:17">
      <c r="A11" t="s">
        <v>121</v>
      </c>
      <c r="B11">
        <v>127</v>
      </c>
      <c r="C11" s="2">
        <v>9</v>
      </c>
      <c r="D11" s="2">
        <v>8</v>
      </c>
      <c r="E11" s="3">
        <f t="shared" si="0"/>
        <v>6.2992125984251963</v>
      </c>
      <c r="F11" s="2">
        <v>8</v>
      </c>
      <c r="G11" s="3">
        <f t="shared" si="1"/>
        <v>6.2992125984251963</v>
      </c>
      <c r="H11" s="2">
        <v>2</v>
      </c>
      <c r="I11" s="3">
        <f t="shared" si="2"/>
        <v>1.5748031496062991</v>
      </c>
      <c r="J11">
        <v>0</v>
      </c>
      <c r="K11">
        <f t="shared" si="3"/>
        <v>0</v>
      </c>
      <c r="L11" s="2">
        <v>0</v>
      </c>
      <c r="M11" s="3">
        <f t="shared" si="4"/>
        <v>0</v>
      </c>
      <c r="N11" s="2">
        <v>0</v>
      </c>
      <c r="O11" s="3">
        <f t="shared" si="5"/>
        <v>0</v>
      </c>
      <c r="P11" s="2">
        <v>0</v>
      </c>
      <c r="Q11">
        <f t="shared" si="6"/>
        <v>0</v>
      </c>
    </row>
    <row r="12" spans="1:17">
      <c r="A12" t="s">
        <v>122</v>
      </c>
      <c r="B12">
        <v>300</v>
      </c>
      <c r="C12" s="2">
        <v>1</v>
      </c>
      <c r="D12" s="2">
        <v>1</v>
      </c>
      <c r="E12" s="3">
        <f t="shared" si="0"/>
        <v>0.33333333333333337</v>
      </c>
      <c r="F12" s="2">
        <v>1</v>
      </c>
      <c r="G12" s="3">
        <f t="shared" si="1"/>
        <v>0.33333333333333337</v>
      </c>
      <c r="I12" s="3"/>
      <c r="L12" s="2">
        <v>0</v>
      </c>
      <c r="M12" s="3">
        <f t="shared" si="4"/>
        <v>0</v>
      </c>
      <c r="N12" s="2">
        <v>0</v>
      </c>
      <c r="O12" s="3">
        <f t="shared" si="5"/>
        <v>0</v>
      </c>
      <c r="P12" s="2">
        <v>0</v>
      </c>
      <c r="Q12">
        <f t="shared" si="6"/>
        <v>0</v>
      </c>
    </row>
    <row r="13" spans="1:17">
      <c r="A13" t="s">
        <v>123</v>
      </c>
      <c r="B13">
        <v>184</v>
      </c>
      <c r="C13" s="2">
        <v>9</v>
      </c>
      <c r="D13" s="2">
        <v>7</v>
      </c>
      <c r="E13" s="3">
        <f t="shared" si="0"/>
        <v>3.804347826086957</v>
      </c>
      <c r="F13" s="2">
        <v>7</v>
      </c>
      <c r="G13" s="3">
        <f t="shared" si="1"/>
        <v>3.804347826086957</v>
      </c>
      <c r="H13" s="2">
        <v>2</v>
      </c>
      <c r="I13" s="3">
        <f t="shared" si="2"/>
        <v>1.0869565217391304</v>
      </c>
      <c r="J13">
        <v>0</v>
      </c>
      <c r="K13">
        <f t="shared" si="3"/>
        <v>0</v>
      </c>
      <c r="L13" s="2">
        <v>0</v>
      </c>
      <c r="M13" s="3">
        <f t="shared" si="4"/>
        <v>0</v>
      </c>
      <c r="N13" s="2">
        <v>0</v>
      </c>
      <c r="O13" s="3">
        <f t="shared" si="5"/>
        <v>0</v>
      </c>
      <c r="P13" s="2">
        <v>0</v>
      </c>
      <c r="Q13">
        <f t="shared" si="6"/>
        <v>0</v>
      </c>
    </row>
    <row r="14" spans="1:17">
      <c r="A14" t="s">
        <v>139</v>
      </c>
      <c r="B14">
        <v>170</v>
      </c>
      <c r="C14" s="2">
        <v>2</v>
      </c>
      <c r="D14" s="2">
        <v>2</v>
      </c>
      <c r="E14" s="3">
        <f t="shared" si="0"/>
        <v>1.1764705882352942</v>
      </c>
      <c r="F14" s="2">
        <v>2</v>
      </c>
      <c r="G14" s="3">
        <f t="shared" si="1"/>
        <v>1.1764705882352942</v>
      </c>
      <c r="H14" s="2">
        <v>0</v>
      </c>
      <c r="I14" s="3">
        <f t="shared" si="2"/>
        <v>0</v>
      </c>
      <c r="J14">
        <v>0</v>
      </c>
      <c r="K14">
        <f t="shared" si="3"/>
        <v>0</v>
      </c>
      <c r="L14" s="2">
        <v>0</v>
      </c>
      <c r="M14" s="3">
        <f t="shared" si="4"/>
        <v>0</v>
      </c>
      <c r="N14" s="2">
        <v>0</v>
      </c>
      <c r="O14" s="3">
        <f t="shared" si="5"/>
        <v>0</v>
      </c>
      <c r="P14" s="2">
        <v>0</v>
      </c>
      <c r="Q14">
        <f t="shared" si="6"/>
        <v>0</v>
      </c>
    </row>
    <row r="15" spans="1:17">
      <c r="A15" t="s">
        <v>140</v>
      </c>
      <c r="B15">
        <v>170</v>
      </c>
      <c r="C15" s="2">
        <v>7</v>
      </c>
      <c r="D15" s="2">
        <v>7</v>
      </c>
      <c r="E15" s="3">
        <f t="shared" si="0"/>
        <v>4.117647058823529</v>
      </c>
      <c r="F15" s="2">
        <v>5</v>
      </c>
      <c r="G15" s="3">
        <f t="shared" si="1"/>
        <v>2.9411764705882351</v>
      </c>
      <c r="H15" s="2">
        <v>1</v>
      </c>
      <c r="I15" s="3">
        <f t="shared" si="2"/>
        <v>0.58823529411764708</v>
      </c>
      <c r="J15">
        <v>0</v>
      </c>
      <c r="K15">
        <f t="shared" si="3"/>
        <v>0</v>
      </c>
      <c r="L15" s="2">
        <v>2</v>
      </c>
      <c r="M15" s="3">
        <f t="shared" si="4"/>
        <v>1.1764705882352942</v>
      </c>
      <c r="N15" s="2">
        <v>0</v>
      </c>
      <c r="O15" s="3">
        <f t="shared" si="5"/>
        <v>0</v>
      </c>
      <c r="P15" s="2">
        <v>0</v>
      </c>
      <c r="Q15">
        <f t="shared" si="6"/>
        <v>0</v>
      </c>
    </row>
    <row r="16" spans="1:17" ht="14.65" thickBot="1">
      <c r="A16" s="5" t="s">
        <v>130</v>
      </c>
      <c r="B16" s="5">
        <v>170</v>
      </c>
      <c r="C16" s="6">
        <v>1</v>
      </c>
      <c r="D16" s="6">
        <v>1</v>
      </c>
      <c r="E16" s="7">
        <f t="shared" si="0"/>
        <v>0.58823529411764708</v>
      </c>
      <c r="F16" s="6">
        <v>0</v>
      </c>
      <c r="G16" s="7">
        <f t="shared" si="1"/>
        <v>0</v>
      </c>
      <c r="H16" s="6">
        <v>0</v>
      </c>
      <c r="I16" s="7">
        <f t="shared" si="2"/>
        <v>0</v>
      </c>
      <c r="J16" s="5">
        <v>0</v>
      </c>
      <c r="K16" s="5">
        <f t="shared" si="3"/>
        <v>0</v>
      </c>
      <c r="L16" s="6">
        <v>1</v>
      </c>
      <c r="M16" s="7">
        <f t="shared" si="4"/>
        <v>0.58823529411764708</v>
      </c>
      <c r="N16" s="6">
        <v>0</v>
      </c>
      <c r="O16" s="7">
        <f t="shared" si="5"/>
        <v>0</v>
      </c>
      <c r="P16" s="6">
        <v>0</v>
      </c>
      <c r="Q16" s="5">
        <f t="shared" si="6"/>
        <v>0</v>
      </c>
    </row>
    <row r="17" spans="1:17" ht="14.65" thickBot="1">
      <c r="A17" s="4" t="s">
        <v>141</v>
      </c>
      <c r="B17" s="8">
        <f>SUM(B3:B16)</f>
        <v>2478</v>
      </c>
      <c r="C17" s="8">
        <f>SUM(C3:C16)</f>
        <v>63</v>
      </c>
      <c r="D17" s="8">
        <f>SUM(D3:D16)</f>
        <v>48</v>
      </c>
      <c r="E17" s="9">
        <f t="shared" si="0"/>
        <v>1.937046004842615</v>
      </c>
      <c r="F17" s="8">
        <f>SUM(F3:F16)</f>
        <v>39</v>
      </c>
      <c r="G17" s="9">
        <f t="shared" si="1"/>
        <v>1.5738498789346249</v>
      </c>
      <c r="H17" s="8">
        <f>SUM(H3:H16)</f>
        <v>6</v>
      </c>
      <c r="I17" s="9">
        <f t="shared" si="2"/>
        <v>0.24213075060532688</v>
      </c>
      <c r="J17" s="4">
        <f>SUM(J3:J16)</f>
        <v>2</v>
      </c>
      <c r="K17" s="9">
        <f t="shared" si="3"/>
        <v>8.0710250201775621E-2</v>
      </c>
      <c r="L17" s="8">
        <f>SUM(L3:L16)</f>
        <v>6</v>
      </c>
      <c r="M17" s="9">
        <f t="shared" si="4"/>
        <v>0.24213075060532688</v>
      </c>
      <c r="N17" s="8">
        <f>SUM(N3:N16)</f>
        <v>3</v>
      </c>
      <c r="O17" s="9">
        <f t="shared" si="5"/>
        <v>0.12106537530266344</v>
      </c>
      <c r="P17" s="8">
        <f>SUM(P3:P16)</f>
        <v>0</v>
      </c>
      <c r="Q17" s="4">
        <f t="shared" si="6"/>
        <v>0</v>
      </c>
    </row>
    <row r="18" spans="1:17" ht="14.65" thickBot="1">
      <c r="A18" s="5" t="s">
        <v>142</v>
      </c>
      <c r="B18" s="5">
        <v>229</v>
      </c>
      <c r="C18" s="6">
        <v>1</v>
      </c>
      <c r="D18" s="6">
        <v>1</v>
      </c>
      <c r="E18" s="7">
        <f t="shared" si="0"/>
        <v>0.43668122270742354</v>
      </c>
      <c r="F18" s="6">
        <v>1</v>
      </c>
      <c r="G18" s="7">
        <f t="shared" si="1"/>
        <v>0.43668122270742354</v>
      </c>
      <c r="H18" s="6">
        <v>0</v>
      </c>
      <c r="I18" s="7">
        <f t="shared" si="2"/>
        <v>0</v>
      </c>
      <c r="J18" s="6">
        <v>0</v>
      </c>
      <c r="K18" s="9">
        <f t="shared" si="3"/>
        <v>0</v>
      </c>
      <c r="L18" s="6">
        <v>0</v>
      </c>
      <c r="M18" s="7">
        <f t="shared" si="4"/>
        <v>0</v>
      </c>
      <c r="N18" s="6">
        <v>0</v>
      </c>
      <c r="O18" s="7">
        <f t="shared" si="5"/>
        <v>0</v>
      </c>
      <c r="P18" s="6">
        <v>0</v>
      </c>
      <c r="Q18" s="5">
        <f t="shared" si="6"/>
        <v>0</v>
      </c>
    </row>
    <row r="19" spans="1:17" ht="14.65" thickBot="1">
      <c r="A19" s="4" t="s">
        <v>143</v>
      </c>
      <c r="B19" s="8">
        <v>2707</v>
      </c>
      <c r="C19" s="8">
        <v>64</v>
      </c>
      <c r="D19" s="8">
        <v>49</v>
      </c>
      <c r="E19" s="9">
        <f t="shared" si="0"/>
        <v>1.8101219061691911</v>
      </c>
      <c r="F19" s="8">
        <v>40</v>
      </c>
      <c r="G19" s="9">
        <f t="shared" si="1"/>
        <v>1.4776505356483192</v>
      </c>
      <c r="H19" s="8">
        <v>6</v>
      </c>
      <c r="I19" s="9">
        <f t="shared" si="2"/>
        <v>0.22164758034724791</v>
      </c>
      <c r="J19" s="4">
        <v>2</v>
      </c>
      <c r="K19" s="9">
        <f t="shared" si="3"/>
        <v>7.3882526782415955E-2</v>
      </c>
      <c r="L19" s="8">
        <v>6</v>
      </c>
      <c r="M19" s="9">
        <f t="shared" si="4"/>
        <v>0.22164758034724791</v>
      </c>
      <c r="N19" s="8">
        <v>3</v>
      </c>
      <c r="O19" s="9">
        <f t="shared" si="5"/>
        <v>0.11082379017362395</v>
      </c>
      <c r="P19" s="8">
        <v>0</v>
      </c>
      <c r="Q19" s="4">
        <f t="shared" si="6"/>
        <v>0</v>
      </c>
    </row>
    <row r="21" spans="1:17">
      <c r="A21" t="s">
        <v>133</v>
      </c>
    </row>
  </sheetData>
  <mergeCells count="10">
    <mergeCell ref="J1:K1"/>
    <mergeCell ref="L1:M1"/>
    <mergeCell ref="N1:O1"/>
    <mergeCell ref="P1:Q1"/>
    <mergeCell ref="A1:A2"/>
    <mergeCell ref="B1:B2"/>
    <mergeCell ref="C1:C2"/>
    <mergeCell ref="D1:E1"/>
    <mergeCell ref="F1:G1"/>
    <mergeCell ref="H1:I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1"/>
  <dimension ref="A1:Q13"/>
  <sheetViews>
    <sheetView workbookViewId="0">
      <selection activeCell="Q2" sqref="Q2"/>
    </sheetView>
  </sheetViews>
  <sheetFormatPr defaultColWidth="11.42578125" defaultRowHeight="14.25"/>
  <cols>
    <col min="1" max="1" width="24" customWidth="1"/>
  </cols>
  <sheetData>
    <row r="1" spans="1:17" ht="14.65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1" t="s">
        <v>107</v>
      </c>
      <c r="G1" s="61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4.65" thickBot="1">
      <c r="A2" s="64"/>
      <c r="B2" s="64"/>
      <c r="C2" s="64"/>
      <c r="D2" s="4" t="s">
        <v>69</v>
      </c>
      <c r="E2" s="4" t="s">
        <v>87</v>
      </c>
      <c r="F2" s="4" t="s">
        <v>69</v>
      </c>
      <c r="G2" s="4" t="s">
        <v>87</v>
      </c>
      <c r="H2" s="4" t="s">
        <v>69</v>
      </c>
      <c r="I2" s="4" t="s">
        <v>87</v>
      </c>
      <c r="J2" s="4" t="s">
        <v>69</v>
      </c>
      <c r="K2" s="4" t="s">
        <v>87</v>
      </c>
      <c r="L2" s="4" t="s">
        <v>69</v>
      </c>
      <c r="M2" s="4" t="s">
        <v>87</v>
      </c>
      <c r="N2" s="4" t="s">
        <v>69</v>
      </c>
      <c r="O2" s="4" t="s">
        <v>87</v>
      </c>
      <c r="P2" s="4" t="s">
        <v>69</v>
      </c>
      <c r="Q2" s="4" t="s">
        <v>87</v>
      </c>
    </row>
    <row r="3" spans="1:17">
      <c r="A3" t="s">
        <v>134</v>
      </c>
      <c r="B3">
        <v>86</v>
      </c>
      <c r="C3" s="2">
        <v>4</v>
      </c>
      <c r="D3" s="2">
        <v>3</v>
      </c>
      <c r="E3" s="3">
        <f>(D3/B3)*100</f>
        <v>3.4883720930232558</v>
      </c>
      <c r="F3" s="2">
        <v>3</v>
      </c>
      <c r="G3" s="3">
        <f>(F3/B3)*100</f>
        <v>3.4883720930232558</v>
      </c>
      <c r="H3" s="2">
        <v>1</v>
      </c>
      <c r="I3" s="3">
        <f>(H3/B3)*100</f>
        <v>1.1627906976744187</v>
      </c>
      <c r="J3">
        <v>0</v>
      </c>
      <c r="K3">
        <f>(J3/B3)*100</f>
        <v>0</v>
      </c>
      <c r="L3" s="2">
        <v>0</v>
      </c>
      <c r="M3" s="39">
        <f>(L3/B3)*100</f>
        <v>0</v>
      </c>
      <c r="N3" s="2">
        <v>0</v>
      </c>
      <c r="O3">
        <f>(N3/B3)*100</f>
        <v>0</v>
      </c>
      <c r="P3" s="2">
        <v>0</v>
      </c>
      <c r="Q3" s="39">
        <f>(P3/B3)*100</f>
        <v>0</v>
      </c>
    </row>
    <row r="4" spans="1:17">
      <c r="A4" t="s">
        <v>128</v>
      </c>
      <c r="B4">
        <v>230</v>
      </c>
      <c r="C4" s="2">
        <v>6</v>
      </c>
      <c r="D4" s="2">
        <v>1</v>
      </c>
      <c r="E4" s="3">
        <f t="shared" ref="E4:E11" si="0">(D4/B4)*100</f>
        <v>0.43478260869565216</v>
      </c>
      <c r="F4" s="2">
        <v>1</v>
      </c>
      <c r="G4" s="3">
        <f t="shared" ref="G4:G11" si="1">(F4/B4)*100</f>
        <v>0.43478260869565216</v>
      </c>
      <c r="L4" s="2">
        <v>0</v>
      </c>
      <c r="M4" s="39">
        <f t="shared" ref="M4:M11" si="2">(L4/B4)*100</f>
        <v>0</v>
      </c>
      <c r="N4" s="2">
        <v>0</v>
      </c>
      <c r="O4">
        <f t="shared" ref="O4:O11" si="3">(N4/B4)*100</f>
        <v>0</v>
      </c>
      <c r="P4" s="2">
        <v>0</v>
      </c>
      <c r="Q4" s="39">
        <f t="shared" ref="Q4:Q11" si="4">(P4/B4)*100</f>
        <v>0</v>
      </c>
    </row>
    <row r="5" spans="1:17">
      <c r="A5" t="s">
        <v>120</v>
      </c>
      <c r="B5">
        <v>170</v>
      </c>
      <c r="C5" s="2">
        <v>2</v>
      </c>
      <c r="D5" s="2">
        <v>1</v>
      </c>
      <c r="E5" s="3">
        <f t="shared" si="0"/>
        <v>0.58823529411764708</v>
      </c>
      <c r="F5" s="2">
        <v>1</v>
      </c>
      <c r="G5" s="3">
        <f t="shared" si="1"/>
        <v>0.58823529411764708</v>
      </c>
      <c r="L5" s="2">
        <v>0</v>
      </c>
      <c r="M5" s="39">
        <f t="shared" si="2"/>
        <v>0</v>
      </c>
      <c r="N5" s="2">
        <v>0</v>
      </c>
      <c r="O5">
        <f t="shared" si="3"/>
        <v>0</v>
      </c>
      <c r="P5" s="2">
        <v>1</v>
      </c>
      <c r="Q5" s="3">
        <f t="shared" si="4"/>
        <v>0.58823529411764708</v>
      </c>
    </row>
    <row r="6" spans="1:17">
      <c r="A6" t="s">
        <v>123</v>
      </c>
      <c r="B6">
        <v>178</v>
      </c>
      <c r="C6" s="2">
        <v>7</v>
      </c>
      <c r="D6" s="2">
        <v>6</v>
      </c>
      <c r="E6" s="3">
        <f t="shared" si="0"/>
        <v>3.3707865168539324</v>
      </c>
      <c r="F6" s="2">
        <v>5</v>
      </c>
      <c r="G6" s="3">
        <f t="shared" si="1"/>
        <v>2.8089887640449436</v>
      </c>
      <c r="H6" s="2">
        <v>0</v>
      </c>
      <c r="I6">
        <f t="shared" ref="I6:I11" si="5">(H6/B6)*100</f>
        <v>0</v>
      </c>
      <c r="J6">
        <v>0</v>
      </c>
      <c r="K6">
        <f t="shared" ref="K6:K11" si="6">(J6/B6)*100</f>
        <v>0</v>
      </c>
      <c r="L6" s="2">
        <v>1</v>
      </c>
      <c r="M6" s="3">
        <f t="shared" si="2"/>
        <v>0.5617977528089888</v>
      </c>
      <c r="N6" s="2">
        <v>0</v>
      </c>
      <c r="O6">
        <f t="shared" si="3"/>
        <v>0</v>
      </c>
      <c r="P6" s="2">
        <v>0</v>
      </c>
      <c r="Q6" s="39">
        <f t="shared" si="4"/>
        <v>0</v>
      </c>
    </row>
    <row r="7" spans="1:17">
      <c r="A7" t="s">
        <v>139</v>
      </c>
      <c r="B7">
        <v>170</v>
      </c>
      <c r="C7" s="2">
        <v>3</v>
      </c>
      <c r="D7" s="2">
        <v>2</v>
      </c>
      <c r="E7" s="3">
        <f t="shared" si="0"/>
        <v>1.1764705882352942</v>
      </c>
      <c r="F7" s="2">
        <v>2</v>
      </c>
      <c r="G7" s="3">
        <f t="shared" si="1"/>
        <v>1.1764705882352942</v>
      </c>
      <c r="H7" s="2">
        <v>0</v>
      </c>
      <c r="I7">
        <f t="shared" si="5"/>
        <v>0</v>
      </c>
      <c r="J7">
        <v>0</v>
      </c>
      <c r="K7">
        <f t="shared" si="6"/>
        <v>0</v>
      </c>
      <c r="L7" s="2">
        <v>0</v>
      </c>
      <c r="M7" s="39">
        <f t="shared" si="2"/>
        <v>0</v>
      </c>
      <c r="N7" s="2">
        <v>0</v>
      </c>
      <c r="O7">
        <f t="shared" si="3"/>
        <v>0</v>
      </c>
      <c r="P7" s="2">
        <v>0</v>
      </c>
      <c r="Q7" s="39">
        <f t="shared" si="4"/>
        <v>0</v>
      </c>
    </row>
    <row r="8" spans="1:17" ht="14.65" thickBot="1">
      <c r="A8" s="5" t="s">
        <v>130</v>
      </c>
      <c r="B8" s="5">
        <v>170</v>
      </c>
      <c r="C8" s="6">
        <v>5</v>
      </c>
      <c r="D8" s="6">
        <v>5</v>
      </c>
      <c r="E8" s="7">
        <f t="shared" si="0"/>
        <v>2.9411764705882351</v>
      </c>
      <c r="F8" s="6">
        <v>5</v>
      </c>
      <c r="G8" s="7">
        <f t="shared" si="1"/>
        <v>2.9411764705882351</v>
      </c>
      <c r="H8" s="6">
        <v>0</v>
      </c>
      <c r="I8" s="5">
        <f t="shared" si="5"/>
        <v>0</v>
      </c>
      <c r="J8" s="5">
        <v>0</v>
      </c>
      <c r="K8" s="5">
        <f t="shared" si="6"/>
        <v>0</v>
      </c>
      <c r="L8" s="6">
        <v>0</v>
      </c>
      <c r="M8" s="40">
        <f t="shared" si="2"/>
        <v>0</v>
      </c>
      <c r="N8" s="6">
        <v>0</v>
      </c>
      <c r="O8" s="5">
        <f t="shared" si="3"/>
        <v>0</v>
      </c>
      <c r="P8" s="6">
        <v>0</v>
      </c>
      <c r="Q8" s="40">
        <f t="shared" si="4"/>
        <v>0</v>
      </c>
    </row>
    <row r="9" spans="1:17" ht="14.65" thickBot="1">
      <c r="A9" s="4" t="s">
        <v>144</v>
      </c>
      <c r="B9" s="8">
        <f>SUM(B3:B8)</f>
        <v>1004</v>
      </c>
      <c r="C9" s="8">
        <f>SUM(C3:C8)</f>
        <v>27</v>
      </c>
      <c r="D9" s="8">
        <f t="shared" ref="D9:P9" si="7">SUM(D3:D8)</f>
        <v>18</v>
      </c>
      <c r="E9" s="9">
        <f t="shared" si="0"/>
        <v>1.7928286852589643</v>
      </c>
      <c r="F9" s="8">
        <f t="shared" si="7"/>
        <v>17</v>
      </c>
      <c r="G9" s="9">
        <f t="shared" si="1"/>
        <v>1.693227091633466</v>
      </c>
      <c r="H9" s="8">
        <f>SUM(H3:H8)</f>
        <v>1</v>
      </c>
      <c r="I9" s="9">
        <f t="shared" si="5"/>
        <v>9.9601593625498003E-2</v>
      </c>
      <c r="J9" s="8">
        <f>SUM(J3:J8)</f>
        <v>0</v>
      </c>
      <c r="K9" s="4">
        <f t="shared" si="6"/>
        <v>0</v>
      </c>
      <c r="L9" s="8">
        <f t="shared" si="7"/>
        <v>1</v>
      </c>
      <c r="M9" s="9">
        <f t="shared" si="2"/>
        <v>9.9601593625498003E-2</v>
      </c>
      <c r="N9" s="8">
        <f t="shared" si="7"/>
        <v>0</v>
      </c>
      <c r="O9" s="4">
        <f t="shared" si="3"/>
        <v>0</v>
      </c>
      <c r="P9" s="8">
        <f t="shared" si="7"/>
        <v>1</v>
      </c>
      <c r="Q9" s="9">
        <f t="shared" si="4"/>
        <v>9.9601593625498003E-2</v>
      </c>
    </row>
    <row r="10" spans="1:17" ht="14.65" thickBot="1">
      <c r="A10" s="5" t="s">
        <v>145</v>
      </c>
      <c r="B10" s="5">
        <v>110</v>
      </c>
      <c r="C10" s="6">
        <v>1</v>
      </c>
      <c r="D10" s="6">
        <v>1</v>
      </c>
      <c r="E10" s="7">
        <f t="shared" si="0"/>
        <v>0.90909090909090906</v>
      </c>
      <c r="F10" s="6">
        <v>0</v>
      </c>
      <c r="G10" s="40">
        <f t="shared" si="1"/>
        <v>0</v>
      </c>
      <c r="H10" s="6">
        <v>0</v>
      </c>
      <c r="I10" s="5">
        <f t="shared" si="5"/>
        <v>0</v>
      </c>
      <c r="J10" s="5">
        <v>0</v>
      </c>
      <c r="K10" s="5">
        <f t="shared" si="6"/>
        <v>0</v>
      </c>
      <c r="L10" s="6">
        <v>1</v>
      </c>
      <c r="M10" s="7">
        <f t="shared" si="2"/>
        <v>0.90909090909090906</v>
      </c>
      <c r="N10" s="6">
        <v>0</v>
      </c>
      <c r="O10" s="5">
        <f t="shared" si="3"/>
        <v>0</v>
      </c>
      <c r="P10" s="6">
        <v>0</v>
      </c>
      <c r="Q10" s="40">
        <f t="shared" si="4"/>
        <v>0</v>
      </c>
    </row>
    <row r="11" spans="1:17" ht="14.65" thickBot="1">
      <c r="A11" s="4" t="s">
        <v>143</v>
      </c>
      <c r="B11" s="8">
        <v>1114</v>
      </c>
      <c r="C11" s="8">
        <v>28</v>
      </c>
      <c r="D11" s="8">
        <v>19</v>
      </c>
      <c r="E11" s="9">
        <f t="shared" si="0"/>
        <v>1.7055655296229804</v>
      </c>
      <c r="F11" s="8">
        <v>17</v>
      </c>
      <c r="G11" s="9">
        <f t="shared" si="1"/>
        <v>1.5260323159784559</v>
      </c>
      <c r="H11" s="8">
        <v>1</v>
      </c>
      <c r="I11" s="9">
        <f t="shared" si="5"/>
        <v>8.9766606822262118E-2</v>
      </c>
      <c r="J11" s="4">
        <v>0</v>
      </c>
      <c r="K11" s="4">
        <f t="shared" si="6"/>
        <v>0</v>
      </c>
      <c r="L11" s="8">
        <v>2</v>
      </c>
      <c r="M11" s="9">
        <f t="shared" si="2"/>
        <v>0.17953321364452424</v>
      </c>
      <c r="N11" s="8">
        <v>0</v>
      </c>
      <c r="O11" s="4">
        <f t="shared" si="3"/>
        <v>0</v>
      </c>
      <c r="P11" s="8">
        <v>1</v>
      </c>
      <c r="Q11" s="33">
        <f t="shared" si="4"/>
        <v>8.9766606822262118E-2</v>
      </c>
    </row>
    <row r="13" spans="1:17">
      <c r="A13" t="s">
        <v>133</v>
      </c>
    </row>
  </sheetData>
  <mergeCells count="10">
    <mergeCell ref="J1:K1"/>
    <mergeCell ref="L1:M1"/>
    <mergeCell ref="N1:O1"/>
    <mergeCell ref="P1:Q1"/>
    <mergeCell ref="A1:A2"/>
    <mergeCell ref="B1:B2"/>
    <mergeCell ref="C1:C2"/>
    <mergeCell ref="D1:E1"/>
    <mergeCell ref="F1:G1"/>
    <mergeCell ref="H1:I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2"/>
  <dimension ref="A1:P35"/>
  <sheetViews>
    <sheetView workbookViewId="0">
      <selection activeCell="G25" sqref="G25"/>
    </sheetView>
  </sheetViews>
  <sheetFormatPr defaultColWidth="10.7109375" defaultRowHeight="14.25"/>
  <cols>
    <col min="1" max="1" width="25.85546875" customWidth="1"/>
    <col min="7" max="7" width="11.5703125" bestFit="1" customWidth="1"/>
    <col min="8" max="8" width="13" customWidth="1"/>
    <col min="10" max="10" width="13" customWidth="1"/>
    <col min="17" max="17" width="14.2851562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149</v>
      </c>
      <c r="B3" s="2">
        <v>338</v>
      </c>
      <c r="C3" s="47">
        <v>24.260355029585799</v>
      </c>
      <c r="D3" t="s">
        <v>150</v>
      </c>
      <c r="E3" s="47">
        <v>17.159763313609471</v>
      </c>
      <c r="F3" t="s">
        <v>151</v>
      </c>
      <c r="G3" s="48">
        <v>5.9171597633136095</v>
      </c>
      <c r="H3" s="14" t="s">
        <v>152</v>
      </c>
      <c r="I3" s="48">
        <v>3.2544378698224858</v>
      </c>
      <c r="J3" s="14" t="s">
        <v>153</v>
      </c>
      <c r="K3" s="47">
        <v>6.5088757396449717</v>
      </c>
      <c r="L3" t="s">
        <v>154</v>
      </c>
      <c r="M3" s="47">
        <v>0.59171597633136097</v>
      </c>
      <c r="N3" t="s">
        <v>155</v>
      </c>
      <c r="O3" s="48">
        <v>0</v>
      </c>
      <c r="P3" t="s">
        <v>156</v>
      </c>
    </row>
    <row r="4" spans="1:16">
      <c r="A4" t="s">
        <v>134</v>
      </c>
      <c r="B4" s="2">
        <v>312</v>
      </c>
      <c r="C4" s="47">
        <v>56.730769230769226</v>
      </c>
      <c r="D4" t="s">
        <v>157</v>
      </c>
      <c r="E4" s="47">
        <v>54.166666666666671</v>
      </c>
      <c r="F4" t="s">
        <v>158</v>
      </c>
      <c r="G4" s="48">
        <v>2.5641025641025643</v>
      </c>
      <c r="H4" s="14" t="s">
        <v>159</v>
      </c>
      <c r="I4" s="48">
        <v>2.5641025641025643</v>
      </c>
      <c r="J4" s="14" t="s">
        <v>159</v>
      </c>
      <c r="K4" s="47">
        <v>1.6025641025641029</v>
      </c>
      <c r="L4" t="s">
        <v>160</v>
      </c>
      <c r="M4" s="47">
        <v>0.96153846153846156</v>
      </c>
      <c r="N4" t="s">
        <v>161</v>
      </c>
      <c r="O4" s="48">
        <v>0</v>
      </c>
      <c r="P4" t="s">
        <v>162</v>
      </c>
    </row>
    <row r="5" spans="1:16">
      <c r="A5" t="s">
        <v>163</v>
      </c>
      <c r="B5" s="2">
        <v>150</v>
      </c>
      <c r="C5" s="47">
        <v>43.333333333333336</v>
      </c>
      <c r="D5" t="s">
        <v>164</v>
      </c>
      <c r="E5" s="47">
        <v>24.666666666666668</v>
      </c>
      <c r="F5" t="s">
        <v>165</v>
      </c>
      <c r="G5" s="48">
        <v>2.666666666666667</v>
      </c>
      <c r="H5" s="14" t="s">
        <v>166</v>
      </c>
      <c r="I5" s="48">
        <v>1.3333333333333335</v>
      </c>
      <c r="J5" s="14" t="s">
        <v>167</v>
      </c>
      <c r="K5" s="47">
        <v>14.666666666666666</v>
      </c>
      <c r="L5" t="s">
        <v>168</v>
      </c>
      <c r="M5" s="47">
        <v>4</v>
      </c>
      <c r="N5" t="s">
        <v>169</v>
      </c>
      <c r="O5" s="48">
        <v>0</v>
      </c>
      <c r="P5" t="s">
        <v>170</v>
      </c>
    </row>
    <row r="6" spans="1:16" s="14" customFormat="1">
      <c r="A6" s="14" t="s">
        <v>171</v>
      </c>
      <c r="B6" s="53">
        <v>131</v>
      </c>
      <c r="C6" s="47">
        <v>31.297709923664126</v>
      </c>
      <c r="D6" s="14" t="s">
        <v>172</v>
      </c>
      <c r="E6" s="47">
        <v>25.954198473282442</v>
      </c>
      <c r="F6" s="14" t="s">
        <v>173</v>
      </c>
      <c r="G6" s="48">
        <v>6.106870229007634</v>
      </c>
      <c r="H6" s="14" t="s">
        <v>174</v>
      </c>
      <c r="I6" s="48">
        <v>0</v>
      </c>
      <c r="J6" s="14" t="s">
        <v>175</v>
      </c>
      <c r="K6" s="47">
        <v>5.3435114503816799</v>
      </c>
      <c r="L6" s="14" t="s">
        <v>176</v>
      </c>
      <c r="M6" s="47">
        <v>0</v>
      </c>
      <c r="N6" s="14" t="s">
        <v>177</v>
      </c>
      <c r="O6" s="48">
        <v>0</v>
      </c>
      <c r="P6" s="14" t="s">
        <v>177</v>
      </c>
    </row>
    <row r="7" spans="1:16">
      <c r="A7" t="s">
        <v>135</v>
      </c>
      <c r="B7" s="2">
        <v>152</v>
      </c>
      <c r="C7" s="47">
        <v>30.263157894736842</v>
      </c>
      <c r="D7" t="s">
        <v>178</v>
      </c>
      <c r="E7" s="47">
        <v>25.657894736842106</v>
      </c>
      <c r="F7" t="s">
        <v>179</v>
      </c>
      <c r="G7" s="48">
        <v>3.9473684210526314</v>
      </c>
      <c r="H7" s="14" t="s">
        <v>180</v>
      </c>
      <c r="I7" s="48">
        <v>0</v>
      </c>
      <c r="J7" s="14" t="s">
        <v>181</v>
      </c>
      <c r="K7" s="47">
        <v>1.9736842105263157</v>
      </c>
      <c r="L7" t="s">
        <v>182</v>
      </c>
      <c r="M7" s="47">
        <v>2.6315789473684208</v>
      </c>
      <c r="N7" t="s">
        <v>183</v>
      </c>
      <c r="O7" s="48">
        <v>0</v>
      </c>
      <c r="P7" t="s">
        <v>170</v>
      </c>
    </row>
    <row r="8" spans="1:16">
      <c r="A8" t="s">
        <v>184</v>
      </c>
      <c r="B8" s="2">
        <v>296</v>
      </c>
      <c r="C8" s="47">
        <v>28.040540540540544</v>
      </c>
      <c r="D8" t="s">
        <v>185</v>
      </c>
      <c r="E8" s="47">
        <v>23.310810810810814</v>
      </c>
      <c r="F8" t="s">
        <v>186</v>
      </c>
      <c r="G8" s="48"/>
      <c r="H8" s="14"/>
      <c r="I8" s="48"/>
      <c r="J8" s="14"/>
      <c r="K8" s="47">
        <v>5.0675675675675675</v>
      </c>
      <c r="L8" t="s">
        <v>187</v>
      </c>
      <c r="M8" s="47">
        <v>0.33783783783783788</v>
      </c>
      <c r="N8" t="s">
        <v>188</v>
      </c>
      <c r="O8" s="48">
        <v>0</v>
      </c>
      <c r="P8" t="s">
        <v>162</v>
      </c>
    </row>
    <row r="9" spans="1:16">
      <c r="A9" t="s">
        <v>136</v>
      </c>
      <c r="B9" s="2">
        <v>352</v>
      </c>
      <c r="C9" s="47">
        <v>3.4090909090909087</v>
      </c>
      <c r="D9" t="s">
        <v>189</v>
      </c>
      <c r="E9" s="47">
        <v>2.2727272727272725</v>
      </c>
      <c r="F9" t="s">
        <v>190</v>
      </c>
      <c r="G9" s="48">
        <v>0.28409090909090906</v>
      </c>
      <c r="H9" s="14" t="s">
        <v>191</v>
      </c>
      <c r="I9" s="48">
        <v>0.28409090909090906</v>
      </c>
      <c r="J9" s="14" t="s">
        <v>191</v>
      </c>
      <c r="K9" s="47">
        <v>1.1363636363636362</v>
      </c>
      <c r="L9" t="s">
        <v>192</v>
      </c>
      <c r="M9" s="47">
        <v>0</v>
      </c>
      <c r="N9" t="s">
        <v>193</v>
      </c>
      <c r="O9" s="48">
        <v>0</v>
      </c>
      <c r="P9" t="s">
        <v>194</v>
      </c>
    </row>
    <row r="10" spans="1:16">
      <c r="A10" t="s">
        <v>137</v>
      </c>
      <c r="B10" s="2">
        <v>148</v>
      </c>
      <c r="C10" s="47">
        <v>44.584357084357087</v>
      </c>
      <c r="D10" t="s">
        <v>195</v>
      </c>
      <c r="E10" s="47">
        <v>26.750614250614252</v>
      </c>
      <c r="F10" t="s">
        <v>196</v>
      </c>
      <c r="G10" s="48">
        <v>10.288697788697789</v>
      </c>
      <c r="H10" s="14" t="s">
        <v>197</v>
      </c>
      <c r="I10" s="48">
        <v>0</v>
      </c>
      <c r="J10" s="14" t="s">
        <v>198</v>
      </c>
      <c r="K10" s="47">
        <v>13.718263718263717</v>
      </c>
      <c r="L10" t="s">
        <v>199</v>
      </c>
      <c r="M10" s="47">
        <v>4.1154791154791157</v>
      </c>
      <c r="N10" t="s">
        <v>200</v>
      </c>
      <c r="O10" s="48">
        <v>0</v>
      </c>
      <c r="P10" t="s">
        <v>201</v>
      </c>
    </row>
    <row r="11" spans="1:16">
      <c r="A11" t="s">
        <v>202</v>
      </c>
      <c r="B11" s="2">
        <v>300</v>
      </c>
      <c r="C11" s="47">
        <v>1.6666666666666667</v>
      </c>
      <c r="D11" t="s">
        <v>203</v>
      </c>
      <c r="E11" s="47">
        <v>1.6666666666666667</v>
      </c>
      <c r="F11" t="s">
        <v>203</v>
      </c>
      <c r="H11" s="14"/>
      <c r="I11" s="48"/>
      <c r="J11" s="14"/>
      <c r="K11" s="47">
        <v>0</v>
      </c>
      <c r="L11" t="s">
        <v>162</v>
      </c>
      <c r="M11" s="47">
        <v>0</v>
      </c>
      <c r="N11" t="s">
        <v>162</v>
      </c>
      <c r="O11" s="48">
        <v>0</v>
      </c>
      <c r="P11" t="s">
        <v>162</v>
      </c>
    </row>
    <row r="12" spans="1:16">
      <c r="A12" t="s">
        <v>204</v>
      </c>
      <c r="B12" s="2">
        <v>323</v>
      </c>
      <c r="C12" s="47">
        <v>9.2879256965944279</v>
      </c>
      <c r="D12" t="s">
        <v>205</v>
      </c>
      <c r="E12" s="47">
        <v>5.2631578947368416</v>
      </c>
      <c r="F12" t="s">
        <v>206</v>
      </c>
      <c r="G12" s="48">
        <v>1.2383900928792568</v>
      </c>
      <c r="H12" s="14" t="s">
        <v>207</v>
      </c>
      <c r="I12" s="48">
        <v>0.30959752321981421</v>
      </c>
      <c r="J12" s="14" t="s">
        <v>208</v>
      </c>
      <c r="K12" s="47">
        <v>3.7151702786377707</v>
      </c>
      <c r="L12" t="s">
        <v>209</v>
      </c>
      <c r="M12" s="47">
        <v>0.30959752321981421</v>
      </c>
      <c r="N12" t="s">
        <v>210</v>
      </c>
      <c r="O12" s="48">
        <v>0</v>
      </c>
      <c r="P12" t="s">
        <v>156</v>
      </c>
    </row>
    <row r="13" spans="1:16">
      <c r="A13" t="s">
        <v>128</v>
      </c>
      <c r="B13" s="2">
        <v>467</v>
      </c>
      <c r="C13" s="47">
        <v>32.976445396145607</v>
      </c>
      <c r="D13" t="s">
        <v>211</v>
      </c>
      <c r="E13" s="47">
        <v>31.193934834191793</v>
      </c>
      <c r="F13" t="s">
        <v>212</v>
      </c>
      <c r="G13" s="48"/>
      <c r="H13" s="14"/>
      <c r="I13" s="48"/>
      <c r="J13" s="14"/>
      <c r="K13" s="47">
        <v>1.7825105619538169</v>
      </c>
      <c r="L13" t="s">
        <v>213</v>
      </c>
      <c r="M13" s="47">
        <v>0</v>
      </c>
      <c r="N13" t="s">
        <v>214</v>
      </c>
      <c r="O13" s="48">
        <v>0</v>
      </c>
      <c r="P13" t="s">
        <v>214</v>
      </c>
    </row>
    <row r="14" spans="1:16">
      <c r="A14" t="s">
        <v>119</v>
      </c>
      <c r="B14" s="2">
        <v>300</v>
      </c>
      <c r="C14" s="47">
        <v>61.333333333333329</v>
      </c>
      <c r="D14" t="s">
        <v>215</v>
      </c>
      <c r="E14" s="47">
        <v>46.666666666666664</v>
      </c>
      <c r="F14" t="s">
        <v>216</v>
      </c>
      <c r="G14" s="48">
        <v>21.666666666666668</v>
      </c>
      <c r="H14" s="14" t="s">
        <v>217</v>
      </c>
      <c r="I14" s="48">
        <v>0.66666666666666674</v>
      </c>
      <c r="J14" s="14" t="s">
        <v>218</v>
      </c>
      <c r="K14" s="47">
        <v>11.666666666666666</v>
      </c>
      <c r="L14" t="s">
        <v>219</v>
      </c>
      <c r="M14" s="47">
        <v>3</v>
      </c>
      <c r="N14" t="s">
        <v>220</v>
      </c>
      <c r="O14" s="48">
        <v>0</v>
      </c>
      <c r="P14" t="s">
        <v>162</v>
      </c>
    </row>
    <row r="15" spans="1:16">
      <c r="A15" t="s">
        <v>129</v>
      </c>
      <c r="B15" s="2">
        <v>300</v>
      </c>
      <c r="C15" s="47">
        <v>7.9999999999999991</v>
      </c>
      <c r="D15" t="s">
        <v>221</v>
      </c>
      <c r="E15" s="47">
        <v>6.9999999999999991</v>
      </c>
      <c r="F15" t="s">
        <v>222</v>
      </c>
      <c r="G15" s="48">
        <v>1.3333333333333333</v>
      </c>
      <c r="H15" s="14" t="s">
        <v>223</v>
      </c>
      <c r="I15" s="48">
        <v>0.66666666666666663</v>
      </c>
      <c r="J15" s="14" t="s">
        <v>218</v>
      </c>
      <c r="K15" s="47">
        <v>0.99999999999999989</v>
      </c>
      <c r="L15" t="s">
        <v>224</v>
      </c>
      <c r="M15" s="47">
        <v>0</v>
      </c>
      <c r="N15" t="s">
        <v>162</v>
      </c>
      <c r="O15" s="48">
        <v>0</v>
      </c>
      <c r="P15" t="s">
        <v>162</v>
      </c>
    </row>
    <row r="16" spans="1:16">
      <c r="A16" t="s">
        <v>120</v>
      </c>
      <c r="B16" s="2">
        <v>302</v>
      </c>
      <c r="C16" s="47">
        <v>40.066225165562919</v>
      </c>
      <c r="D16" t="s">
        <v>225</v>
      </c>
      <c r="E16" s="47">
        <v>28.476821192052981</v>
      </c>
      <c r="F16" t="s">
        <v>226</v>
      </c>
      <c r="G16" s="48"/>
      <c r="H16" s="14"/>
      <c r="I16" s="48"/>
      <c r="J16" s="14"/>
      <c r="K16" s="47">
        <v>14.569536423841059</v>
      </c>
      <c r="L16" t="s">
        <v>227</v>
      </c>
      <c r="M16" s="47">
        <v>2.9801324503311259</v>
      </c>
      <c r="N16" t="s">
        <v>220</v>
      </c>
      <c r="O16" s="48">
        <v>0</v>
      </c>
      <c r="P16" t="s">
        <v>162</v>
      </c>
    </row>
    <row r="17" spans="1:16">
      <c r="A17" t="s">
        <v>228</v>
      </c>
      <c r="B17" s="2">
        <v>151</v>
      </c>
      <c r="C17" s="47">
        <v>37.748344370860927</v>
      </c>
      <c r="D17" t="s">
        <v>229</v>
      </c>
      <c r="E17" s="47">
        <v>19.867549668874172</v>
      </c>
      <c r="F17" t="s">
        <v>230</v>
      </c>
      <c r="G17" s="48">
        <v>4.6357615894039732</v>
      </c>
      <c r="H17" s="14" t="s">
        <v>231</v>
      </c>
      <c r="I17" s="48">
        <v>0</v>
      </c>
      <c r="J17" s="14" t="s">
        <v>181</v>
      </c>
      <c r="K17" s="47">
        <v>17.880794701986755</v>
      </c>
      <c r="L17" t="s">
        <v>232</v>
      </c>
      <c r="M17" s="47">
        <v>0</v>
      </c>
      <c r="N17" t="s">
        <v>170</v>
      </c>
      <c r="O17" s="48">
        <v>0</v>
      </c>
      <c r="P17" t="s">
        <v>170</v>
      </c>
    </row>
    <row r="18" spans="1:16">
      <c r="A18" t="s">
        <v>233</v>
      </c>
      <c r="B18" s="2">
        <v>150</v>
      </c>
      <c r="C18" s="47">
        <v>8.6666666666666679</v>
      </c>
      <c r="D18" t="s">
        <v>234</v>
      </c>
      <c r="E18" s="47">
        <v>5.3333333333333339</v>
      </c>
      <c r="F18" t="s">
        <v>235</v>
      </c>
      <c r="G18" s="48">
        <v>0.66666666666666674</v>
      </c>
      <c r="H18" s="14" t="s">
        <v>236</v>
      </c>
      <c r="I18" s="48">
        <v>0</v>
      </c>
      <c r="J18" s="14" t="s">
        <v>181</v>
      </c>
      <c r="K18" s="47">
        <v>3.3333333333333335</v>
      </c>
      <c r="L18" t="s">
        <v>237</v>
      </c>
      <c r="M18" s="47">
        <v>0</v>
      </c>
      <c r="N18" t="s">
        <v>170</v>
      </c>
      <c r="O18" s="48">
        <v>0</v>
      </c>
      <c r="P18" t="s">
        <v>170</v>
      </c>
    </row>
    <row r="19" spans="1:16">
      <c r="A19" t="s">
        <v>116</v>
      </c>
      <c r="B19" s="2">
        <v>57</v>
      </c>
      <c r="C19" s="47">
        <v>45.614035087719294</v>
      </c>
      <c r="D19" t="s">
        <v>238</v>
      </c>
      <c r="E19" s="47">
        <v>43.859649122807014</v>
      </c>
      <c r="F19" t="s">
        <v>239</v>
      </c>
      <c r="G19" s="48">
        <v>1.7543859649122806</v>
      </c>
      <c r="H19" s="14" t="s">
        <v>240</v>
      </c>
      <c r="I19" s="48">
        <v>10.526315789473683</v>
      </c>
      <c r="J19" s="14" t="s">
        <v>241</v>
      </c>
      <c r="K19" s="47">
        <v>1.7543859649122806</v>
      </c>
      <c r="L19" t="s">
        <v>242</v>
      </c>
      <c r="M19" s="47">
        <v>0</v>
      </c>
      <c r="N19" t="s">
        <v>243</v>
      </c>
      <c r="O19" s="48">
        <v>0</v>
      </c>
      <c r="P19" t="s">
        <v>243</v>
      </c>
    </row>
    <row r="20" spans="1:16">
      <c r="A20" t="s">
        <v>121</v>
      </c>
      <c r="B20" s="2">
        <v>150</v>
      </c>
      <c r="C20" s="47">
        <v>34.666666666666671</v>
      </c>
      <c r="D20" t="s">
        <v>244</v>
      </c>
      <c r="E20" s="47">
        <v>31.333333333333336</v>
      </c>
      <c r="F20" t="s">
        <v>245</v>
      </c>
      <c r="G20" s="48">
        <v>6</v>
      </c>
      <c r="H20" s="14" t="s">
        <v>246</v>
      </c>
      <c r="I20" s="48">
        <v>1.3333333333333335</v>
      </c>
      <c r="J20" s="14" t="s">
        <v>167</v>
      </c>
      <c r="K20" s="47">
        <v>2</v>
      </c>
      <c r="L20" t="s">
        <v>182</v>
      </c>
      <c r="M20" s="47">
        <v>1.3333333333333335</v>
      </c>
      <c r="N20" t="s">
        <v>247</v>
      </c>
      <c r="O20" s="48">
        <v>0</v>
      </c>
      <c r="P20" t="s">
        <v>170</v>
      </c>
    </row>
    <row r="21" spans="1:16">
      <c r="A21" t="s">
        <v>122</v>
      </c>
      <c r="B21" s="2">
        <v>187</v>
      </c>
      <c r="C21" s="47">
        <v>13.368983957219251</v>
      </c>
      <c r="D21" t="s">
        <v>248</v>
      </c>
      <c r="E21" s="47">
        <v>12.299465240641711</v>
      </c>
      <c r="F21" t="s">
        <v>249</v>
      </c>
      <c r="G21" s="48"/>
      <c r="H21" s="14"/>
      <c r="I21" s="48"/>
      <c r="J21" s="14"/>
      <c r="K21" s="47">
        <v>1.0695187165775399</v>
      </c>
      <c r="L21" t="s">
        <v>250</v>
      </c>
      <c r="M21" s="47">
        <v>0</v>
      </c>
      <c r="N21" t="s">
        <v>251</v>
      </c>
      <c r="O21" s="48">
        <v>0</v>
      </c>
      <c r="P21" t="s">
        <v>252</v>
      </c>
    </row>
    <row r="22" spans="1:16">
      <c r="A22" t="s">
        <v>123</v>
      </c>
      <c r="B22" s="2">
        <v>403</v>
      </c>
      <c r="C22" s="47">
        <v>38.957816377171213</v>
      </c>
      <c r="D22" t="s">
        <v>253</v>
      </c>
      <c r="E22" s="47">
        <v>27.295285359801486</v>
      </c>
      <c r="F22" t="s">
        <v>254</v>
      </c>
      <c r="G22" s="48">
        <v>8.9330024813895772</v>
      </c>
      <c r="H22" s="14" t="s">
        <v>255</v>
      </c>
      <c r="I22" s="48">
        <v>0</v>
      </c>
      <c r="J22" s="14" t="s">
        <v>256</v>
      </c>
      <c r="K22" s="47">
        <v>10.918114143920596</v>
      </c>
      <c r="L22" t="s">
        <v>257</v>
      </c>
      <c r="M22" s="47">
        <v>0.74441687344913154</v>
      </c>
      <c r="N22" t="s">
        <v>258</v>
      </c>
      <c r="O22" s="48">
        <v>0</v>
      </c>
      <c r="P22" t="s">
        <v>259</v>
      </c>
    </row>
    <row r="23" spans="1:16">
      <c r="A23" t="s">
        <v>139</v>
      </c>
      <c r="B23" s="2">
        <v>218</v>
      </c>
      <c r="C23" s="47">
        <v>27.064220183486238</v>
      </c>
      <c r="D23" t="s">
        <v>260</v>
      </c>
      <c r="E23" s="47">
        <v>24.311926605504588</v>
      </c>
      <c r="F23" t="s">
        <v>261</v>
      </c>
      <c r="G23" s="48">
        <v>2.7522935779816518</v>
      </c>
      <c r="H23" s="14" t="s">
        <v>262</v>
      </c>
      <c r="I23" s="48">
        <v>0</v>
      </c>
      <c r="J23" s="14" t="s">
        <v>208</v>
      </c>
      <c r="K23" s="47">
        <v>1.3761467889908259</v>
      </c>
      <c r="L23" t="s">
        <v>263</v>
      </c>
      <c r="M23" s="47">
        <v>1.3761467889908259</v>
      </c>
      <c r="N23" t="s">
        <v>264</v>
      </c>
      <c r="O23" s="48">
        <v>0</v>
      </c>
      <c r="P23" t="s">
        <v>210</v>
      </c>
    </row>
    <row r="24" spans="1:16">
      <c r="A24" t="s">
        <v>140</v>
      </c>
      <c r="B24" s="2">
        <v>303</v>
      </c>
      <c r="C24" s="47">
        <v>39.603960396039604</v>
      </c>
      <c r="D24" t="s">
        <v>265</v>
      </c>
      <c r="E24" s="47">
        <v>24.752475247524753</v>
      </c>
      <c r="F24" t="s">
        <v>266</v>
      </c>
      <c r="G24" s="48">
        <v>3.6303630363036308</v>
      </c>
      <c r="H24" s="14" t="s">
        <v>267</v>
      </c>
      <c r="I24" s="48">
        <v>0</v>
      </c>
      <c r="J24" s="14" t="s">
        <v>268</v>
      </c>
      <c r="K24" s="47">
        <v>14.19141914191419</v>
      </c>
      <c r="L24" t="s">
        <v>269</v>
      </c>
      <c r="M24" s="47">
        <v>0.66006600660066006</v>
      </c>
      <c r="N24" t="s">
        <v>270</v>
      </c>
      <c r="O24" s="48">
        <v>0</v>
      </c>
      <c r="P24" t="s">
        <v>162</v>
      </c>
    </row>
    <row r="25" spans="1:16">
      <c r="A25" t="s">
        <v>271</v>
      </c>
      <c r="B25" s="2">
        <v>150</v>
      </c>
      <c r="C25" s="47">
        <v>50.625000000000007</v>
      </c>
      <c r="D25" t="s">
        <v>272</v>
      </c>
      <c r="E25" s="47">
        <v>41.85</v>
      </c>
      <c r="F25" t="s">
        <v>273</v>
      </c>
      <c r="G25" s="48">
        <v>21.6</v>
      </c>
      <c r="H25" s="14" t="s">
        <v>274</v>
      </c>
      <c r="I25" s="48">
        <v>0</v>
      </c>
      <c r="J25" s="14" t="s">
        <v>181</v>
      </c>
      <c r="K25" s="47">
        <v>8.1</v>
      </c>
      <c r="L25" t="s">
        <v>275</v>
      </c>
      <c r="M25" s="47">
        <v>0.67500000000000004</v>
      </c>
      <c r="N25" t="s">
        <v>276</v>
      </c>
      <c r="O25" s="48">
        <v>0</v>
      </c>
      <c r="P25" t="s">
        <v>170</v>
      </c>
    </row>
    <row r="26" spans="1:16">
      <c r="A26" t="s">
        <v>277</v>
      </c>
      <c r="B26" s="2">
        <v>153</v>
      </c>
      <c r="C26" s="47">
        <v>32.679738562091501</v>
      </c>
      <c r="D26" t="s">
        <v>278</v>
      </c>
      <c r="E26" s="47">
        <v>24.183006535947708</v>
      </c>
      <c r="F26" t="s">
        <v>279</v>
      </c>
      <c r="G26" s="48">
        <v>10.457516339869279</v>
      </c>
      <c r="H26" s="14" t="s">
        <v>280</v>
      </c>
      <c r="I26" s="48">
        <v>2.6143790849673199</v>
      </c>
      <c r="J26" s="14" t="s">
        <v>281</v>
      </c>
      <c r="K26" s="47">
        <v>8.4967320261437891</v>
      </c>
      <c r="L26" t="s">
        <v>282</v>
      </c>
      <c r="M26" s="47">
        <v>0</v>
      </c>
      <c r="N26" t="s">
        <v>170</v>
      </c>
      <c r="O26" s="48">
        <v>0</v>
      </c>
      <c r="P26" t="s">
        <v>170</v>
      </c>
    </row>
    <row r="27" spans="1:16">
      <c r="A27" t="s">
        <v>130</v>
      </c>
      <c r="B27" s="2">
        <v>300</v>
      </c>
      <c r="C27" s="47">
        <v>53.333333333333336</v>
      </c>
      <c r="D27" t="s">
        <v>283</v>
      </c>
      <c r="E27" s="47">
        <v>42</v>
      </c>
      <c r="F27" t="s">
        <v>284</v>
      </c>
      <c r="G27" s="48">
        <v>6.3333333333333321</v>
      </c>
      <c r="H27" s="14" t="s">
        <v>285</v>
      </c>
      <c r="I27" s="48">
        <v>0</v>
      </c>
      <c r="J27" s="14" t="s">
        <v>268</v>
      </c>
      <c r="K27" s="47">
        <v>8.6666666666666679</v>
      </c>
      <c r="L27" t="s">
        <v>286</v>
      </c>
      <c r="M27" s="47">
        <v>2.666666666666667</v>
      </c>
      <c r="N27" t="s">
        <v>287</v>
      </c>
      <c r="O27" s="48">
        <v>0</v>
      </c>
      <c r="P27" t="s">
        <v>162</v>
      </c>
    </row>
    <row r="28" spans="1:16" ht="14.65" thickBot="1">
      <c r="A28" s="5" t="s">
        <v>288</v>
      </c>
      <c r="B28" s="6">
        <v>296</v>
      </c>
      <c r="C28" s="49">
        <v>1.6891891891891893</v>
      </c>
      <c r="D28" s="49" t="s">
        <v>289</v>
      </c>
      <c r="E28" s="49">
        <v>0.67567567567567566</v>
      </c>
      <c r="F28" s="49" t="s">
        <v>270</v>
      </c>
      <c r="G28" s="50"/>
      <c r="H28" s="49"/>
      <c r="I28" s="50"/>
      <c r="J28" s="49"/>
      <c r="K28" s="49">
        <v>1.0135135135135136</v>
      </c>
      <c r="L28" s="49" t="s">
        <v>224</v>
      </c>
      <c r="M28" s="49">
        <v>0</v>
      </c>
      <c r="N28" s="49" t="s">
        <v>162</v>
      </c>
      <c r="O28" s="50">
        <v>0</v>
      </c>
      <c r="P28" s="49" t="s">
        <v>162</v>
      </c>
    </row>
    <row r="29" spans="1:16" ht="14.65" thickBot="1">
      <c r="A29" s="4" t="s">
        <v>290</v>
      </c>
      <c r="B29" s="8">
        <v>6389</v>
      </c>
      <c r="C29" s="9">
        <v>29.57993646880837</v>
      </c>
      <c r="D29" s="9" t="s">
        <v>291</v>
      </c>
      <c r="E29" s="9">
        <v>22.947240831275362</v>
      </c>
      <c r="F29" s="9" t="s">
        <v>292</v>
      </c>
      <c r="G29" s="52">
        <v>6.0197968367974974</v>
      </c>
      <c r="H29" s="9" t="s">
        <v>293</v>
      </c>
      <c r="I29" s="52">
        <v>0.85997097668535671</v>
      </c>
      <c r="J29" s="9" t="s">
        <v>294</v>
      </c>
      <c r="K29" s="51">
        <v>6.0040041079090321</v>
      </c>
      <c r="L29" s="9" t="s">
        <v>295</v>
      </c>
      <c r="M29" s="51">
        <v>0.9</v>
      </c>
      <c r="N29" s="9" t="s">
        <v>296</v>
      </c>
      <c r="O29" s="52">
        <v>0</v>
      </c>
      <c r="P29" s="9" t="s">
        <v>297</v>
      </c>
    </row>
    <row r="30" spans="1:16">
      <c r="A30" t="s">
        <v>145</v>
      </c>
      <c r="B30" s="2">
        <v>302</v>
      </c>
      <c r="C30" s="47">
        <v>0</v>
      </c>
      <c r="D30" t="s">
        <v>162</v>
      </c>
      <c r="E30" s="47">
        <v>0</v>
      </c>
      <c r="F30" t="s">
        <v>162</v>
      </c>
      <c r="G30" s="48">
        <v>0</v>
      </c>
      <c r="H30" s="14" t="s">
        <v>268</v>
      </c>
      <c r="I30" s="48">
        <v>0</v>
      </c>
      <c r="J30" s="14" t="s">
        <v>268</v>
      </c>
      <c r="K30" s="47">
        <v>0</v>
      </c>
      <c r="L30" t="s">
        <v>162</v>
      </c>
      <c r="M30" s="47">
        <v>0</v>
      </c>
      <c r="N30" t="s">
        <v>162</v>
      </c>
      <c r="O30" s="48">
        <v>0</v>
      </c>
      <c r="P30" t="s">
        <v>162</v>
      </c>
    </row>
    <row r="31" spans="1:16" ht="14.65" thickBot="1">
      <c r="A31" s="5" t="s">
        <v>142</v>
      </c>
      <c r="B31" s="6">
        <v>307</v>
      </c>
      <c r="C31" s="49">
        <v>16.612377850162865</v>
      </c>
      <c r="D31" s="7" t="s">
        <v>298</v>
      </c>
      <c r="E31" s="49">
        <v>14.332247557003255</v>
      </c>
      <c r="F31" s="7" t="s">
        <v>299</v>
      </c>
      <c r="G31" s="50">
        <v>4.234527687296417</v>
      </c>
      <c r="H31" s="7" t="s">
        <v>300</v>
      </c>
      <c r="I31" s="50">
        <v>0.97719869706840379</v>
      </c>
      <c r="J31" s="7" t="s">
        <v>301</v>
      </c>
      <c r="K31" s="49">
        <v>1.9543973941368076</v>
      </c>
      <c r="L31" s="7" t="s">
        <v>302</v>
      </c>
      <c r="M31" s="49">
        <v>0.32573289902280128</v>
      </c>
      <c r="N31" s="7" t="s">
        <v>303</v>
      </c>
      <c r="O31" s="50">
        <v>0</v>
      </c>
      <c r="P31" s="7" t="s">
        <v>162</v>
      </c>
    </row>
    <row r="32" spans="1:16" ht="14.65" thickBot="1">
      <c r="A32" s="4" t="s">
        <v>304</v>
      </c>
      <c r="B32" s="8">
        <v>609</v>
      </c>
      <c r="C32" s="9">
        <v>8.4</v>
      </c>
      <c r="D32" s="9" t="s">
        <v>305</v>
      </c>
      <c r="E32" s="9">
        <v>7.2</v>
      </c>
      <c r="F32" s="9" t="s">
        <v>306</v>
      </c>
      <c r="G32" s="9">
        <v>2.1</v>
      </c>
      <c r="H32" s="9" t="s">
        <v>307</v>
      </c>
      <c r="I32" s="9">
        <v>0.5</v>
      </c>
      <c r="J32" s="9" t="s">
        <v>308</v>
      </c>
      <c r="K32" s="9">
        <v>1</v>
      </c>
      <c r="L32" s="9" t="s">
        <v>309</v>
      </c>
      <c r="M32" s="9">
        <v>0.2</v>
      </c>
      <c r="N32" s="9" t="s">
        <v>256</v>
      </c>
      <c r="O32" s="9">
        <v>0</v>
      </c>
      <c r="P32" s="9" t="s">
        <v>310</v>
      </c>
    </row>
    <row r="33" spans="1:16" ht="14.65" thickBot="1">
      <c r="A33" s="4" t="s">
        <v>311</v>
      </c>
      <c r="B33" s="8">
        <v>6998</v>
      </c>
      <c r="C33" s="9">
        <v>27.7</v>
      </c>
      <c r="D33" s="9" t="s">
        <v>312</v>
      </c>
      <c r="E33" s="9">
        <v>21.6</v>
      </c>
      <c r="F33" s="9" t="s">
        <v>313</v>
      </c>
      <c r="G33" s="9">
        <v>5.6</v>
      </c>
      <c r="H33" s="9" t="s">
        <v>314</v>
      </c>
      <c r="I33" s="9">
        <v>0.8</v>
      </c>
      <c r="J33" s="9" t="s">
        <v>301</v>
      </c>
      <c r="K33" s="9">
        <v>5.6</v>
      </c>
      <c r="L33" s="9" t="s">
        <v>315</v>
      </c>
      <c r="M33" s="9">
        <v>0.9</v>
      </c>
      <c r="N33" s="9" t="s">
        <v>316</v>
      </c>
      <c r="O33" s="9">
        <v>0</v>
      </c>
      <c r="P33" s="9" t="s">
        <v>317</v>
      </c>
    </row>
    <row r="35" spans="1:16">
      <c r="A35" t="s">
        <v>133</v>
      </c>
    </row>
  </sheetData>
  <mergeCells count="9">
    <mergeCell ref="O1:P1"/>
    <mergeCell ref="A1:A2"/>
    <mergeCell ref="B1:B2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3"/>
  <dimension ref="A1:P33"/>
  <sheetViews>
    <sheetView workbookViewId="0">
      <selection activeCell="J29" sqref="J29"/>
    </sheetView>
  </sheetViews>
  <sheetFormatPr defaultColWidth="10.7109375" defaultRowHeight="14.25"/>
  <cols>
    <col min="1" max="1" width="14.140625" customWidth="1"/>
    <col min="8" max="8" width="14" customWidth="1"/>
    <col min="10" max="10" width="13.8554687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149</v>
      </c>
      <c r="B3" s="2">
        <v>86</v>
      </c>
      <c r="C3" s="2">
        <v>82</v>
      </c>
      <c r="D3" s="3">
        <f>(C3/B3)*100</f>
        <v>95.348837209302332</v>
      </c>
      <c r="E3" s="2">
        <v>58</v>
      </c>
      <c r="F3" s="3">
        <f>(E3/B3)*100</f>
        <v>67.441860465116278</v>
      </c>
      <c r="G3">
        <v>20</v>
      </c>
      <c r="H3" s="3">
        <f>(G3/B3)*100</f>
        <v>23.255813953488371</v>
      </c>
      <c r="I3">
        <v>11</v>
      </c>
      <c r="J3" s="3">
        <f>(I3/B3)*100</f>
        <v>12.790697674418606</v>
      </c>
      <c r="K3" s="2">
        <v>22</v>
      </c>
      <c r="L3" s="3">
        <f>(K3/B3)*100</f>
        <v>25.581395348837212</v>
      </c>
      <c r="M3" s="2">
        <v>2</v>
      </c>
      <c r="N3" s="3">
        <f>(M3/B3)*100</f>
        <v>2.3255813953488373</v>
      </c>
      <c r="O3" s="2">
        <v>0</v>
      </c>
      <c r="P3">
        <f>(O3/B3)*100</f>
        <v>0</v>
      </c>
    </row>
    <row r="4" spans="1:16">
      <c r="A4" t="s">
        <v>134</v>
      </c>
      <c r="B4" s="2">
        <v>182</v>
      </c>
      <c r="C4" s="2">
        <v>177</v>
      </c>
      <c r="D4" s="3">
        <f t="shared" ref="D4:D31" si="0">(C4/B4)*100</f>
        <v>97.252747252747255</v>
      </c>
      <c r="E4" s="2">
        <v>169</v>
      </c>
      <c r="F4" s="3">
        <f t="shared" ref="F4:F31" si="1">(E4/B4)*100</f>
        <v>92.857142857142861</v>
      </c>
      <c r="G4">
        <v>8</v>
      </c>
      <c r="H4" s="3">
        <f t="shared" ref="H4:H31" si="2">(G4/B4)*100</f>
        <v>4.395604395604396</v>
      </c>
      <c r="I4">
        <v>8</v>
      </c>
      <c r="J4" s="3">
        <f t="shared" ref="J4:J31" si="3">(I4/B4)*100</f>
        <v>4.395604395604396</v>
      </c>
      <c r="K4" s="2">
        <v>5</v>
      </c>
      <c r="L4" s="3">
        <f t="shared" ref="L4:L31" si="4">(K4/B4)*100</f>
        <v>2.7472527472527473</v>
      </c>
      <c r="M4" s="2">
        <v>3</v>
      </c>
      <c r="N4" s="3">
        <f t="shared" ref="N4:N31" si="5">(M4/B4)*100</f>
        <v>1.6483516483516485</v>
      </c>
      <c r="O4" s="2">
        <v>0</v>
      </c>
      <c r="P4">
        <f t="shared" ref="P4:P31" si="6">(O4/B4)*100</f>
        <v>0</v>
      </c>
    </row>
    <row r="5" spans="1:16">
      <c r="A5" t="s">
        <v>163</v>
      </c>
      <c r="B5" s="2">
        <v>65</v>
      </c>
      <c r="C5" s="2">
        <v>65</v>
      </c>
      <c r="D5" s="3">
        <f t="shared" si="0"/>
        <v>100</v>
      </c>
      <c r="E5" s="2">
        <v>37</v>
      </c>
      <c r="F5" s="3">
        <f t="shared" si="1"/>
        <v>56.92307692307692</v>
      </c>
      <c r="G5">
        <v>4</v>
      </c>
      <c r="H5" s="3">
        <f t="shared" si="2"/>
        <v>6.1538461538461542</v>
      </c>
      <c r="I5">
        <v>2</v>
      </c>
      <c r="J5" s="3">
        <f t="shared" si="3"/>
        <v>3.0769230769230771</v>
      </c>
      <c r="K5" s="2">
        <v>22</v>
      </c>
      <c r="L5" s="3">
        <f t="shared" si="4"/>
        <v>33.846153846153847</v>
      </c>
      <c r="M5" s="2">
        <v>6</v>
      </c>
      <c r="N5" s="3">
        <f t="shared" si="5"/>
        <v>9.2307692307692317</v>
      </c>
      <c r="O5" s="2">
        <v>0</v>
      </c>
      <c r="P5">
        <f t="shared" si="6"/>
        <v>0</v>
      </c>
    </row>
    <row r="6" spans="1:16">
      <c r="A6" t="s">
        <v>171</v>
      </c>
      <c r="B6" s="2">
        <v>41</v>
      </c>
      <c r="C6" s="2">
        <v>41</v>
      </c>
      <c r="D6" s="3">
        <f t="shared" si="0"/>
        <v>100</v>
      </c>
      <c r="E6" s="2">
        <v>34</v>
      </c>
      <c r="F6" s="3">
        <f t="shared" si="1"/>
        <v>82.926829268292678</v>
      </c>
      <c r="G6">
        <v>8</v>
      </c>
      <c r="H6" s="3">
        <f t="shared" si="2"/>
        <v>19.512195121951219</v>
      </c>
      <c r="I6">
        <v>0</v>
      </c>
      <c r="J6" s="3">
        <f t="shared" si="3"/>
        <v>0</v>
      </c>
      <c r="K6" s="2">
        <v>7</v>
      </c>
      <c r="L6" s="3">
        <f t="shared" si="4"/>
        <v>17.073170731707318</v>
      </c>
      <c r="M6" s="2">
        <v>0</v>
      </c>
      <c r="N6" s="3">
        <f t="shared" si="5"/>
        <v>0</v>
      </c>
      <c r="O6" s="2">
        <v>0</v>
      </c>
      <c r="P6">
        <f t="shared" si="6"/>
        <v>0</v>
      </c>
    </row>
    <row r="7" spans="1:16">
      <c r="A7" t="s">
        <v>135</v>
      </c>
      <c r="B7" s="2">
        <v>46</v>
      </c>
      <c r="C7" s="2">
        <v>46</v>
      </c>
      <c r="D7" s="3">
        <f t="shared" si="0"/>
        <v>100</v>
      </c>
      <c r="E7" s="2">
        <v>39</v>
      </c>
      <c r="F7" s="3">
        <f t="shared" si="1"/>
        <v>84.782608695652172</v>
      </c>
      <c r="G7">
        <v>6</v>
      </c>
      <c r="H7" s="3">
        <f t="shared" si="2"/>
        <v>13.043478260869565</v>
      </c>
      <c r="I7">
        <v>0</v>
      </c>
      <c r="J7" s="3">
        <f t="shared" si="3"/>
        <v>0</v>
      </c>
      <c r="K7" s="2">
        <v>3</v>
      </c>
      <c r="L7" s="3">
        <f t="shared" si="4"/>
        <v>6.5217391304347823</v>
      </c>
      <c r="M7" s="2">
        <v>4</v>
      </c>
      <c r="N7" s="3">
        <f t="shared" si="5"/>
        <v>8.695652173913043</v>
      </c>
      <c r="O7" s="2">
        <v>0</v>
      </c>
      <c r="P7">
        <f t="shared" si="6"/>
        <v>0</v>
      </c>
    </row>
    <row r="8" spans="1:16">
      <c r="A8" t="s">
        <v>184</v>
      </c>
      <c r="B8" s="2">
        <v>83</v>
      </c>
      <c r="C8" s="2">
        <v>83</v>
      </c>
      <c r="D8" s="3">
        <f t="shared" si="0"/>
        <v>100</v>
      </c>
      <c r="E8" s="2">
        <v>69</v>
      </c>
      <c r="F8" s="3">
        <f t="shared" si="1"/>
        <v>83.132530120481931</v>
      </c>
      <c r="H8" s="3"/>
      <c r="J8" s="3"/>
      <c r="K8" s="2">
        <v>15</v>
      </c>
      <c r="L8" s="3">
        <f t="shared" si="4"/>
        <v>18.072289156626507</v>
      </c>
      <c r="M8" s="2">
        <v>1</v>
      </c>
      <c r="N8" s="3">
        <f t="shared" si="5"/>
        <v>1.2048192771084338</v>
      </c>
      <c r="O8" s="2">
        <v>0</v>
      </c>
      <c r="P8">
        <f t="shared" si="6"/>
        <v>0</v>
      </c>
    </row>
    <row r="9" spans="1:16">
      <c r="A9" t="s">
        <v>136</v>
      </c>
      <c r="B9" s="2">
        <v>12</v>
      </c>
      <c r="C9" s="2">
        <v>12</v>
      </c>
      <c r="D9" s="3">
        <f t="shared" si="0"/>
        <v>100</v>
      </c>
      <c r="E9" s="2">
        <v>8</v>
      </c>
      <c r="F9" s="3">
        <f t="shared" si="1"/>
        <v>66.666666666666657</v>
      </c>
      <c r="G9">
        <v>1</v>
      </c>
      <c r="H9" s="3">
        <f t="shared" si="2"/>
        <v>8.3333333333333321</v>
      </c>
      <c r="I9">
        <v>1</v>
      </c>
      <c r="J9" s="3">
        <f t="shared" si="3"/>
        <v>8.3333333333333321</v>
      </c>
      <c r="K9" s="2">
        <v>4</v>
      </c>
      <c r="L9" s="3">
        <f t="shared" si="4"/>
        <v>33.333333333333329</v>
      </c>
      <c r="M9" s="2">
        <v>0</v>
      </c>
      <c r="N9" s="3">
        <f t="shared" si="5"/>
        <v>0</v>
      </c>
      <c r="O9" s="2">
        <v>0</v>
      </c>
      <c r="P9">
        <f t="shared" si="6"/>
        <v>0</v>
      </c>
    </row>
    <row r="10" spans="1:16">
      <c r="A10" t="s">
        <v>137</v>
      </c>
      <c r="B10" s="2">
        <v>66</v>
      </c>
      <c r="C10" s="2">
        <v>65</v>
      </c>
      <c r="D10" s="3">
        <f t="shared" si="0"/>
        <v>98.484848484848484</v>
      </c>
      <c r="E10" s="2">
        <v>39</v>
      </c>
      <c r="F10" s="3">
        <f t="shared" si="1"/>
        <v>59.090909090909093</v>
      </c>
      <c r="G10">
        <v>15</v>
      </c>
      <c r="H10" s="3">
        <f t="shared" si="2"/>
        <v>22.727272727272727</v>
      </c>
      <c r="I10">
        <v>0</v>
      </c>
      <c r="J10" s="3">
        <f t="shared" si="3"/>
        <v>0</v>
      </c>
      <c r="K10" s="2">
        <v>20</v>
      </c>
      <c r="L10" s="3">
        <f t="shared" si="4"/>
        <v>30.303030303030305</v>
      </c>
      <c r="M10" s="2">
        <v>6</v>
      </c>
      <c r="N10" s="3">
        <f t="shared" si="5"/>
        <v>9.0909090909090917</v>
      </c>
      <c r="O10" s="2">
        <v>0</v>
      </c>
      <c r="P10">
        <f t="shared" si="6"/>
        <v>0</v>
      </c>
    </row>
    <row r="11" spans="1:16">
      <c r="A11" t="s">
        <v>202</v>
      </c>
      <c r="B11" s="2">
        <v>5</v>
      </c>
      <c r="C11" s="2">
        <v>5</v>
      </c>
      <c r="D11" s="3">
        <f t="shared" si="0"/>
        <v>100</v>
      </c>
      <c r="E11" s="2">
        <v>5</v>
      </c>
      <c r="F11" s="3">
        <f t="shared" si="1"/>
        <v>100</v>
      </c>
      <c r="H11" s="3"/>
      <c r="J11" s="3">
        <f t="shared" si="3"/>
        <v>0</v>
      </c>
      <c r="K11" s="2">
        <v>0</v>
      </c>
      <c r="L11" s="3">
        <f t="shared" si="4"/>
        <v>0</v>
      </c>
      <c r="M11" s="2">
        <v>0</v>
      </c>
      <c r="N11" s="3">
        <f t="shared" si="5"/>
        <v>0</v>
      </c>
      <c r="O11" s="2">
        <v>0</v>
      </c>
      <c r="P11">
        <f t="shared" si="6"/>
        <v>0</v>
      </c>
    </row>
    <row r="12" spans="1:16">
      <c r="A12" t="s">
        <v>204</v>
      </c>
      <c r="B12" s="2">
        <v>31</v>
      </c>
      <c r="C12" s="2">
        <v>30</v>
      </c>
      <c r="D12" s="3">
        <f t="shared" si="0"/>
        <v>96.774193548387103</v>
      </c>
      <c r="E12" s="2">
        <v>17</v>
      </c>
      <c r="F12" s="3">
        <f t="shared" si="1"/>
        <v>54.838709677419352</v>
      </c>
      <c r="G12">
        <v>4</v>
      </c>
      <c r="H12" s="3">
        <f t="shared" si="2"/>
        <v>12.903225806451612</v>
      </c>
      <c r="I12">
        <v>1</v>
      </c>
      <c r="J12" s="3">
        <f t="shared" si="3"/>
        <v>3.225806451612903</v>
      </c>
      <c r="K12" s="2">
        <v>12</v>
      </c>
      <c r="L12" s="3">
        <f t="shared" si="4"/>
        <v>38.70967741935484</v>
      </c>
      <c r="M12" s="2">
        <v>1</v>
      </c>
      <c r="N12" s="3">
        <f t="shared" si="5"/>
        <v>3.225806451612903</v>
      </c>
      <c r="O12" s="2">
        <v>0</v>
      </c>
      <c r="P12">
        <f t="shared" si="6"/>
        <v>0</v>
      </c>
    </row>
    <row r="13" spans="1:16">
      <c r="A13" t="s">
        <v>128</v>
      </c>
      <c r="B13" s="2">
        <v>148</v>
      </c>
      <c r="C13" s="2">
        <v>148</v>
      </c>
      <c r="D13" s="3">
        <f t="shared" si="0"/>
        <v>100</v>
      </c>
      <c r="E13" s="2">
        <v>140</v>
      </c>
      <c r="F13" s="3">
        <f t="shared" si="1"/>
        <v>94.594594594594597</v>
      </c>
      <c r="H13" s="3"/>
      <c r="J13" s="3"/>
      <c r="K13" s="2">
        <v>8</v>
      </c>
      <c r="L13" s="3">
        <f t="shared" si="4"/>
        <v>5.4054054054054053</v>
      </c>
      <c r="M13" s="2">
        <v>0</v>
      </c>
      <c r="N13" s="3">
        <f t="shared" si="5"/>
        <v>0</v>
      </c>
      <c r="O13" s="2">
        <v>0</v>
      </c>
      <c r="P13">
        <f t="shared" si="6"/>
        <v>0</v>
      </c>
    </row>
    <row r="14" spans="1:16">
      <c r="A14" t="s">
        <v>119</v>
      </c>
      <c r="B14" s="2">
        <v>186</v>
      </c>
      <c r="C14" s="2">
        <v>184</v>
      </c>
      <c r="D14" s="3">
        <f t="shared" si="0"/>
        <v>98.924731182795696</v>
      </c>
      <c r="E14" s="2">
        <v>140</v>
      </c>
      <c r="F14" s="3">
        <f t="shared" si="1"/>
        <v>75.268817204301072</v>
      </c>
      <c r="G14">
        <v>65</v>
      </c>
      <c r="H14" s="3">
        <f t="shared" si="2"/>
        <v>34.946236559139784</v>
      </c>
      <c r="I14">
        <v>2</v>
      </c>
      <c r="J14" s="3">
        <f t="shared" si="3"/>
        <v>1.0752688172043012</v>
      </c>
      <c r="K14" s="2">
        <v>35</v>
      </c>
      <c r="L14" s="3">
        <f t="shared" si="4"/>
        <v>18.817204301075268</v>
      </c>
      <c r="M14" s="2">
        <v>9</v>
      </c>
      <c r="N14" s="3">
        <f t="shared" si="5"/>
        <v>4.838709677419355</v>
      </c>
      <c r="O14" s="2">
        <v>0</v>
      </c>
      <c r="P14">
        <f t="shared" si="6"/>
        <v>0</v>
      </c>
    </row>
    <row r="15" spans="1:16">
      <c r="A15" t="s">
        <v>129</v>
      </c>
      <c r="B15" s="2">
        <v>25</v>
      </c>
      <c r="C15" s="2">
        <v>24</v>
      </c>
      <c r="D15" s="3">
        <f t="shared" si="0"/>
        <v>96</v>
      </c>
      <c r="E15" s="2">
        <v>21</v>
      </c>
      <c r="F15" s="3">
        <f t="shared" si="1"/>
        <v>84</v>
      </c>
      <c r="G15">
        <v>4</v>
      </c>
      <c r="H15" s="3">
        <f t="shared" si="2"/>
        <v>16</v>
      </c>
      <c r="I15">
        <v>2</v>
      </c>
      <c r="J15" s="3">
        <f t="shared" si="3"/>
        <v>8</v>
      </c>
      <c r="K15" s="2">
        <v>3</v>
      </c>
      <c r="L15" s="3">
        <f t="shared" si="4"/>
        <v>12</v>
      </c>
      <c r="M15" s="2">
        <v>0</v>
      </c>
      <c r="N15" s="3">
        <f t="shared" si="5"/>
        <v>0</v>
      </c>
      <c r="O15" s="2">
        <v>0</v>
      </c>
      <c r="P15">
        <f t="shared" si="6"/>
        <v>0</v>
      </c>
    </row>
    <row r="16" spans="1:16">
      <c r="A16" t="s">
        <v>120</v>
      </c>
      <c r="B16" s="2">
        <v>126</v>
      </c>
      <c r="C16" s="2">
        <v>121</v>
      </c>
      <c r="D16" s="3">
        <f t="shared" si="0"/>
        <v>96.031746031746039</v>
      </c>
      <c r="E16" s="2">
        <v>86</v>
      </c>
      <c r="F16" s="3">
        <f t="shared" si="1"/>
        <v>68.253968253968253</v>
      </c>
      <c r="H16" s="3"/>
      <c r="J16" s="3"/>
      <c r="K16" s="2">
        <v>44</v>
      </c>
      <c r="L16" s="3">
        <f t="shared" si="4"/>
        <v>34.920634920634917</v>
      </c>
      <c r="M16" s="2">
        <v>9</v>
      </c>
      <c r="N16" s="3">
        <f t="shared" si="5"/>
        <v>7.1428571428571423</v>
      </c>
      <c r="O16" s="2">
        <v>0</v>
      </c>
      <c r="P16">
        <f t="shared" si="6"/>
        <v>0</v>
      </c>
    </row>
    <row r="17" spans="1:16">
      <c r="A17" t="s">
        <v>228</v>
      </c>
      <c r="B17" s="2">
        <v>59</v>
      </c>
      <c r="C17" s="2">
        <v>57</v>
      </c>
      <c r="D17" s="3">
        <f t="shared" si="0"/>
        <v>96.610169491525426</v>
      </c>
      <c r="E17" s="2">
        <v>30</v>
      </c>
      <c r="F17" s="3">
        <f t="shared" si="1"/>
        <v>50.847457627118644</v>
      </c>
      <c r="G17">
        <v>7</v>
      </c>
      <c r="H17" s="3">
        <f t="shared" si="2"/>
        <v>11.864406779661017</v>
      </c>
      <c r="I17">
        <v>0</v>
      </c>
      <c r="J17" s="3">
        <f t="shared" si="3"/>
        <v>0</v>
      </c>
      <c r="K17" s="2">
        <v>27</v>
      </c>
      <c r="L17" s="3">
        <f t="shared" si="4"/>
        <v>45.762711864406782</v>
      </c>
      <c r="M17" s="2">
        <v>0</v>
      </c>
      <c r="N17" s="3">
        <f t="shared" si="5"/>
        <v>0</v>
      </c>
      <c r="O17" s="2">
        <v>0</v>
      </c>
      <c r="P17">
        <f t="shared" si="6"/>
        <v>0</v>
      </c>
    </row>
    <row r="18" spans="1:16">
      <c r="A18" t="s">
        <v>233</v>
      </c>
      <c r="B18" s="2">
        <v>13</v>
      </c>
      <c r="C18" s="2">
        <v>13</v>
      </c>
      <c r="D18" s="3">
        <f t="shared" si="0"/>
        <v>100</v>
      </c>
      <c r="E18" s="2">
        <v>8</v>
      </c>
      <c r="F18" s="3">
        <f t="shared" si="1"/>
        <v>61.53846153846154</v>
      </c>
      <c r="G18">
        <v>1</v>
      </c>
      <c r="H18" s="3">
        <f t="shared" si="2"/>
        <v>7.6923076923076925</v>
      </c>
      <c r="I18">
        <v>0</v>
      </c>
      <c r="J18" s="3">
        <f t="shared" si="3"/>
        <v>0</v>
      </c>
      <c r="K18" s="2">
        <v>5</v>
      </c>
      <c r="L18" s="3">
        <f t="shared" si="4"/>
        <v>38.461538461538467</v>
      </c>
      <c r="M18" s="2">
        <v>0</v>
      </c>
      <c r="N18" s="3">
        <f t="shared" si="5"/>
        <v>0</v>
      </c>
      <c r="O18" s="2">
        <v>0</v>
      </c>
      <c r="P18">
        <f t="shared" si="6"/>
        <v>0</v>
      </c>
    </row>
    <row r="19" spans="1:16">
      <c r="A19" t="s">
        <v>116</v>
      </c>
      <c r="B19" s="2">
        <v>26</v>
      </c>
      <c r="C19" s="2">
        <v>26</v>
      </c>
      <c r="D19" s="3">
        <f t="shared" si="0"/>
        <v>100</v>
      </c>
      <c r="E19" s="2">
        <v>25</v>
      </c>
      <c r="F19" s="3">
        <f t="shared" si="1"/>
        <v>96.15384615384616</v>
      </c>
      <c r="G19">
        <v>1</v>
      </c>
      <c r="H19" s="3">
        <f t="shared" si="2"/>
        <v>3.8461538461538463</v>
      </c>
      <c r="I19">
        <v>6</v>
      </c>
      <c r="J19" s="3">
        <f t="shared" si="3"/>
        <v>23.076923076923077</v>
      </c>
      <c r="K19" s="2">
        <v>1</v>
      </c>
      <c r="L19" s="3">
        <f t="shared" si="4"/>
        <v>3.8461538461538463</v>
      </c>
      <c r="M19" s="2">
        <v>0</v>
      </c>
      <c r="N19" s="3">
        <f t="shared" si="5"/>
        <v>0</v>
      </c>
      <c r="O19" s="2">
        <v>0</v>
      </c>
      <c r="P19">
        <f t="shared" si="6"/>
        <v>0</v>
      </c>
    </row>
    <row r="20" spans="1:16">
      <c r="A20" t="s">
        <v>121</v>
      </c>
      <c r="B20" s="2">
        <v>52</v>
      </c>
      <c r="C20" s="2">
        <v>52</v>
      </c>
      <c r="D20" s="3">
        <f t="shared" si="0"/>
        <v>100</v>
      </c>
      <c r="E20" s="2">
        <v>47</v>
      </c>
      <c r="F20" s="3">
        <f t="shared" si="1"/>
        <v>90.384615384615387</v>
      </c>
      <c r="G20">
        <v>9</v>
      </c>
      <c r="H20" s="3">
        <f t="shared" si="2"/>
        <v>17.307692307692307</v>
      </c>
      <c r="I20">
        <v>2</v>
      </c>
      <c r="J20" s="3">
        <f t="shared" si="3"/>
        <v>3.8461538461538463</v>
      </c>
      <c r="K20" s="2">
        <v>3</v>
      </c>
      <c r="L20" s="3">
        <f t="shared" si="4"/>
        <v>5.7692307692307692</v>
      </c>
      <c r="M20" s="2">
        <v>2</v>
      </c>
      <c r="N20" s="3">
        <f t="shared" si="5"/>
        <v>3.8461538461538463</v>
      </c>
      <c r="O20" s="2">
        <v>0</v>
      </c>
      <c r="P20">
        <f t="shared" si="6"/>
        <v>0</v>
      </c>
    </row>
    <row r="21" spans="1:16">
      <c r="A21" t="s">
        <v>122</v>
      </c>
      <c r="B21" s="2">
        <v>27</v>
      </c>
      <c r="C21" s="2">
        <v>25</v>
      </c>
      <c r="D21" s="3">
        <f t="shared" si="0"/>
        <v>92.592592592592595</v>
      </c>
      <c r="E21" s="2">
        <v>23</v>
      </c>
      <c r="F21" s="3">
        <f t="shared" si="1"/>
        <v>85.18518518518519</v>
      </c>
      <c r="H21" s="3"/>
      <c r="J21" s="3"/>
      <c r="K21" s="2">
        <v>2</v>
      </c>
      <c r="L21" s="3">
        <f t="shared" si="4"/>
        <v>7.4074074074074066</v>
      </c>
      <c r="M21" s="2">
        <v>0</v>
      </c>
      <c r="N21" s="3">
        <f t="shared" si="5"/>
        <v>0</v>
      </c>
      <c r="O21" s="2">
        <v>0</v>
      </c>
      <c r="P21">
        <f t="shared" si="6"/>
        <v>0</v>
      </c>
    </row>
    <row r="22" spans="1:16">
      <c r="A22" t="s">
        <v>123</v>
      </c>
      <c r="B22" s="2">
        <v>161</v>
      </c>
      <c r="C22" s="2">
        <v>157</v>
      </c>
      <c r="D22" s="3">
        <f t="shared" si="0"/>
        <v>97.515527950310556</v>
      </c>
      <c r="E22" s="2">
        <v>110</v>
      </c>
      <c r="F22" s="3">
        <f t="shared" si="1"/>
        <v>68.322981366459629</v>
      </c>
      <c r="G22">
        <v>36</v>
      </c>
      <c r="H22" s="3">
        <f t="shared" si="2"/>
        <v>22.36024844720497</v>
      </c>
      <c r="I22">
        <v>0</v>
      </c>
      <c r="J22" s="3">
        <f t="shared" si="3"/>
        <v>0</v>
      </c>
      <c r="K22" s="2">
        <v>44</v>
      </c>
      <c r="L22" s="3">
        <f t="shared" si="4"/>
        <v>27.329192546583851</v>
      </c>
      <c r="M22" s="2">
        <v>3</v>
      </c>
      <c r="N22" s="3">
        <f t="shared" si="5"/>
        <v>1.8633540372670807</v>
      </c>
      <c r="O22" s="2">
        <v>0</v>
      </c>
      <c r="P22">
        <f t="shared" si="6"/>
        <v>0</v>
      </c>
    </row>
    <row r="23" spans="1:16">
      <c r="A23" t="s">
        <v>139</v>
      </c>
      <c r="B23" s="2">
        <v>59</v>
      </c>
      <c r="C23" s="2">
        <v>59</v>
      </c>
      <c r="D23" s="3">
        <f t="shared" si="0"/>
        <v>100</v>
      </c>
      <c r="E23" s="2">
        <v>53</v>
      </c>
      <c r="F23" s="3">
        <f t="shared" si="1"/>
        <v>89.830508474576277</v>
      </c>
      <c r="G23">
        <v>6</v>
      </c>
      <c r="H23" s="3">
        <f t="shared" si="2"/>
        <v>10.16949152542373</v>
      </c>
      <c r="I23">
        <v>0</v>
      </c>
      <c r="J23" s="3">
        <f t="shared" si="3"/>
        <v>0</v>
      </c>
      <c r="K23" s="2">
        <v>3</v>
      </c>
      <c r="L23" s="3">
        <f t="shared" si="4"/>
        <v>5.0847457627118651</v>
      </c>
      <c r="M23" s="2">
        <v>3</v>
      </c>
      <c r="N23" s="3">
        <f t="shared" si="5"/>
        <v>5.0847457627118651</v>
      </c>
      <c r="O23" s="2">
        <v>0</v>
      </c>
      <c r="P23">
        <f t="shared" si="6"/>
        <v>0</v>
      </c>
    </row>
    <row r="24" spans="1:16">
      <c r="A24" t="s">
        <v>140</v>
      </c>
      <c r="B24" s="2">
        <v>120</v>
      </c>
      <c r="C24" s="2">
        <v>120</v>
      </c>
      <c r="D24" s="3">
        <f t="shared" si="0"/>
        <v>100</v>
      </c>
      <c r="E24" s="2">
        <v>75</v>
      </c>
      <c r="F24" s="3">
        <f t="shared" si="1"/>
        <v>62.5</v>
      </c>
      <c r="G24">
        <v>11</v>
      </c>
      <c r="H24" s="3">
        <f t="shared" si="2"/>
        <v>9.1666666666666661</v>
      </c>
      <c r="I24">
        <v>0</v>
      </c>
      <c r="J24" s="3">
        <f t="shared" si="3"/>
        <v>0</v>
      </c>
      <c r="K24" s="2">
        <v>43</v>
      </c>
      <c r="L24" s="3">
        <f t="shared" si="4"/>
        <v>35.833333333333336</v>
      </c>
      <c r="M24" s="2">
        <v>2</v>
      </c>
      <c r="N24" s="3">
        <f t="shared" si="5"/>
        <v>1.6666666666666667</v>
      </c>
      <c r="O24" s="2">
        <v>0</v>
      </c>
      <c r="P24">
        <f t="shared" si="6"/>
        <v>0</v>
      </c>
    </row>
    <row r="25" spans="1:16">
      <c r="A25" t="s">
        <v>271</v>
      </c>
      <c r="B25" s="2">
        <v>80</v>
      </c>
      <c r="C25" s="2">
        <v>75</v>
      </c>
      <c r="D25" s="3">
        <f t="shared" si="0"/>
        <v>93.75</v>
      </c>
      <c r="E25" s="2">
        <v>62</v>
      </c>
      <c r="F25" s="3">
        <f t="shared" si="1"/>
        <v>77.5</v>
      </c>
      <c r="G25">
        <v>32</v>
      </c>
      <c r="H25" s="3">
        <f t="shared" si="2"/>
        <v>40</v>
      </c>
      <c r="I25">
        <v>0</v>
      </c>
      <c r="J25" s="3">
        <f t="shared" si="3"/>
        <v>0</v>
      </c>
      <c r="K25" s="2">
        <v>12</v>
      </c>
      <c r="L25" s="3">
        <f t="shared" si="4"/>
        <v>15</v>
      </c>
      <c r="M25" s="2">
        <v>1</v>
      </c>
      <c r="N25" s="3">
        <f t="shared" si="5"/>
        <v>1.25</v>
      </c>
      <c r="O25" s="2">
        <v>0</v>
      </c>
      <c r="P25">
        <f t="shared" si="6"/>
        <v>0</v>
      </c>
    </row>
    <row r="26" spans="1:16">
      <c r="A26" t="s">
        <v>277</v>
      </c>
      <c r="B26" s="2">
        <v>51</v>
      </c>
      <c r="C26" s="2">
        <v>50</v>
      </c>
      <c r="D26" s="3">
        <f t="shared" si="0"/>
        <v>98.039215686274503</v>
      </c>
      <c r="E26" s="2">
        <v>37</v>
      </c>
      <c r="F26" s="3">
        <f t="shared" si="1"/>
        <v>72.549019607843135</v>
      </c>
      <c r="G26">
        <v>16</v>
      </c>
      <c r="H26" s="3">
        <f t="shared" si="2"/>
        <v>31.372549019607842</v>
      </c>
      <c r="I26">
        <v>4</v>
      </c>
      <c r="J26" s="3">
        <f t="shared" si="3"/>
        <v>7.8431372549019605</v>
      </c>
      <c r="K26" s="2">
        <v>13</v>
      </c>
      <c r="L26" s="3">
        <f t="shared" si="4"/>
        <v>25.490196078431371</v>
      </c>
      <c r="M26" s="2">
        <v>0</v>
      </c>
      <c r="N26" s="3">
        <f t="shared" si="5"/>
        <v>0</v>
      </c>
      <c r="O26" s="2">
        <v>0</v>
      </c>
      <c r="P26">
        <f t="shared" si="6"/>
        <v>0</v>
      </c>
    </row>
    <row r="27" spans="1:16">
      <c r="A27" t="s">
        <v>130</v>
      </c>
      <c r="B27" s="2">
        <v>160</v>
      </c>
      <c r="C27" s="2">
        <v>160</v>
      </c>
      <c r="D27" s="3">
        <f t="shared" si="0"/>
        <v>100</v>
      </c>
      <c r="E27" s="2">
        <v>126</v>
      </c>
      <c r="F27" s="3">
        <f t="shared" si="1"/>
        <v>78.75</v>
      </c>
      <c r="G27">
        <v>19</v>
      </c>
      <c r="H27" s="3">
        <f t="shared" si="2"/>
        <v>11.875</v>
      </c>
      <c r="I27">
        <v>0</v>
      </c>
      <c r="J27" s="3">
        <f t="shared" si="3"/>
        <v>0</v>
      </c>
      <c r="K27" s="2">
        <v>26</v>
      </c>
      <c r="L27" s="3">
        <f t="shared" si="4"/>
        <v>16.25</v>
      </c>
      <c r="M27" s="2">
        <v>8</v>
      </c>
      <c r="N27" s="3">
        <f t="shared" si="5"/>
        <v>5</v>
      </c>
      <c r="O27" s="2">
        <v>0</v>
      </c>
      <c r="P27">
        <f t="shared" si="6"/>
        <v>0</v>
      </c>
    </row>
    <row r="28" spans="1:16" ht="14.65" thickBot="1">
      <c r="A28" s="5" t="s">
        <v>288</v>
      </c>
      <c r="B28" s="6">
        <v>5</v>
      </c>
      <c r="C28" s="6">
        <v>5</v>
      </c>
      <c r="D28" s="7">
        <f t="shared" si="0"/>
        <v>100</v>
      </c>
      <c r="E28" s="6">
        <v>2</v>
      </c>
      <c r="F28" s="7">
        <f t="shared" si="1"/>
        <v>40</v>
      </c>
      <c r="G28" s="5"/>
      <c r="H28" s="7"/>
      <c r="I28" s="5"/>
      <c r="J28" s="7"/>
      <c r="K28" s="6">
        <v>3</v>
      </c>
      <c r="L28" s="7">
        <f t="shared" si="4"/>
        <v>60</v>
      </c>
      <c r="M28" s="6">
        <v>0</v>
      </c>
      <c r="N28" s="7">
        <f t="shared" si="5"/>
        <v>0</v>
      </c>
      <c r="O28" s="6">
        <v>0</v>
      </c>
      <c r="P28" s="5">
        <f t="shared" si="6"/>
        <v>0</v>
      </c>
    </row>
    <row r="29" spans="1:16" ht="14.65" thickBot="1">
      <c r="A29" s="4" t="s">
        <v>290</v>
      </c>
      <c r="B29" s="8">
        <f>SUM(B3:B28)</f>
        <v>1915</v>
      </c>
      <c r="C29" s="8">
        <f>SUM(C3:C28)</f>
        <v>1882</v>
      </c>
      <c r="D29" s="9">
        <f t="shared" si="0"/>
        <v>98.276762402088764</v>
      </c>
      <c r="E29" s="8">
        <f>SUM(E3:E28)</f>
        <v>1460</v>
      </c>
      <c r="F29" s="9">
        <f t="shared" si="1"/>
        <v>76.240208877284601</v>
      </c>
      <c r="G29" s="4">
        <f>SUM(G3:G28)</f>
        <v>273</v>
      </c>
      <c r="H29" s="7">
        <f t="shared" si="2"/>
        <v>14.255874673629243</v>
      </c>
      <c r="I29" s="4">
        <f>SUM(I3:I28)</f>
        <v>39</v>
      </c>
      <c r="J29" s="7">
        <f t="shared" si="3"/>
        <v>2.0365535248041775</v>
      </c>
      <c r="K29" s="8">
        <f>SUM(K3:K28)</f>
        <v>382</v>
      </c>
      <c r="L29" s="9">
        <f t="shared" si="4"/>
        <v>19.947780678851174</v>
      </c>
      <c r="M29" s="8">
        <f>SUM(M3:M28)</f>
        <v>60</v>
      </c>
      <c r="N29" s="9">
        <f t="shared" si="5"/>
        <v>3.1331592689295036</v>
      </c>
      <c r="O29" s="8">
        <f>SUM(O3:O28)</f>
        <v>0</v>
      </c>
      <c r="P29" s="4">
        <f t="shared" si="6"/>
        <v>0</v>
      </c>
    </row>
    <row r="30" spans="1:16">
      <c r="A30" s="10" t="s">
        <v>142</v>
      </c>
      <c r="B30" s="11">
        <v>54</v>
      </c>
      <c r="C30" s="11">
        <v>51</v>
      </c>
      <c r="D30" s="12">
        <f t="shared" si="0"/>
        <v>94.444444444444443</v>
      </c>
      <c r="E30" s="11">
        <v>44</v>
      </c>
      <c r="F30" s="12">
        <f t="shared" si="1"/>
        <v>81.481481481481481</v>
      </c>
      <c r="G30" s="10">
        <v>13</v>
      </c>
      <c r="H30" s="12">
        <f t="shared" si="2"/>
        <v>24.074074074074073</v>
      </c>
      <c r="I30" s="10">
        <v>3</v>
      </c>
      <c r="J30" s="12">
        <f t="shared" si="3"/>
        <v>5.5555555555555554</v>
      </c>
      <c r="K30" s="11">
        <v>6</v>
      </c>
      <c r="L30" s="12">
        <f t="shared" si="4"/>
        <v>11.111111111111111</v>
      </c>
      <c r="M30" s="11">
        <v>1</v>
      </c>
      <c r="N30" s="12">
        <f t="shared" si="5"/>
        <v>1.8518518518518516</v>
      </c>
      <c r="O30" s="11">
        <v>0</v>
      </c>
      <c r="P30" s="10">
        <f t="shared" si="6"/>
        <v>0</v>
      </c>
    </row>
    <row r="31" spans="1:16" ht="14.65" thickBot="1">
      <c r="A31" s="4" t="s">
        <v>311</v>
      </c>
      <c r="B31" s="8">
        <v>1969</v>
      </c>
      <c r="C31" s="8">
        <v>1933</v>
      </c>
      <c r="D31" s="9">
        <f t="shared" si="0"/>
        <v>98.171660741493142</v>
      </c>
      <c r="E31" s="8">
        <v>1504</v>
      </c>
      <c r="F31" s="9">
        <f t="shared" si="1"/>
        <v>76.383951244286436</v>
      </c>
      <c r="G31" s="4">
        <v>286</v>
      </c>
      <c r="H31" s="7">
        <f t="shared" si="2"/>
        <v>14.52513966480447</v>
      </c>
      <c r="I31" s="4">
        <v>42</v>
      </c>
      <c r="J31" s="7">
        <f t="shared" si="3"/>
        <v>2.1330624682579988</v>
      </c>
      <c r="K31" s="8">
        <v>388</v>
      </c>
      <c r="L31" s="9">
        <f t="shared" si="4"/>
        <v>19.705434230573896</v>
      </c>
      <c r="M31" s="8">
        <v>61</v>
      </c>
      <c r="N31" s="9">
        <f t="shared" si="5"/>
        <v>3.0980192991366176</v>
      </c>
      <c r="O31" s="8">
        <v>0</v>
      </c>
      <c r="P31" s="4">
        <f t="shared" si="6"/>
        <v>0</v>
      </c>
    </row>
    <row r="33" spans="1:1">
      <c r="A33" t="s">
        <v>133</v>
      </c>
    </row>
  </sheetData>
  <mergeCells count="9">
    <mergeCell ref="O1:P1"/>
    <mergeCell ref="B1:B2"/>
    <mergeCell ref="A1:A2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4"/>
  <dimension ref="A1:P37"/>
  <sheetViews>
    <sheetView workbookViewId="0">
      <selection activeCell="G26" sqref="G26"/>
    </sheetView>
  </sheetViews>
  <sheetFormatPr defaultColWidth="10.7109375" defaultRowHeight="14.25"/>
  <cols>
    <col min="1" max="1" width="32.5703125" bestFit="1" customWidth="1"/>
    <col min="8" max="8" width="13.28515625" customWidth="1"/>
    <col min="10" max="10" width="13.14062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149</v>
      </c>
      <c r="B3" s="2">
        <v>301</v>
      </c>
      <c r="C3" s="3">
        <v>10.631229235880399</v>
      </c>
      <c r="D3" t="s">
        <v>318</v>
      </c>
      <c r="E3" s="3">
        <v>9.6345514950166109</v>
      </c>
      <c r="F3" t="s">
        <v>319</v>
      </c>
      <c r="G3" s="3">
        <v>2.3255813953488373</v>
      </c>
      <c r="H3" t="s">
        <v>320</v>
      </c>
      <c r="I3" s="3">
        <v>2.6578073089700998</v>
      </c>
      <c r="J3" s="3" t="s">
        <v>321</v>
      </c>
      <c r="K3" s="3">
        <v>0.66445182724252494</v>
      </c>
      <c r="L3" t="s">
        <v>270</v>
      </c>
      <c r="M3" s="3">
        <v>0.33222591362126247</v>
      </c>
      <c r="N3" t="s">
        <v>303</v>
      </c>
      <c r="O3" s="3">
        <v>0.66445182724252494</v>
      </c>
      <c r="P3" t="s">
        <v>270</v>
      </c>
    </row>
    <row r="4" spans="1:16">
      <c r="A4" t="s">
        <v>134</v>
      </c>
      <c r="B4" s="2">
        <v>248</v>
      </c>
      <c r="C4" s="3">
        <v>72.115384615384613</v>
      </c>
      <c r="D4" t="s">
        <v>322</v>
      </c>
      <c r="E4" s="3">
        <v>67.170329670329679</v>
      </c>
      <c r="F4" t="s">
        <v>323</v>
      </c>
      <c r="G4" s="3">
        <v>6.1813186813186816</v>
      </c>
      <c r="H4" t="s">
        <v>324</v>
      </c>
      <c r="I4" s="3">
        <v>5.7692307692307692</v>
      </c>
      <c r="J4" s="3" t="s">
        <v>325</v>
      </c>
      <c r="K4" s="3">
        <v>1.6483516483516485</v>
      </c>
      <c r="L4" t="s">
        <v>326</v>
      </c>
      <c r="M4" s="3">
        <v>3.296703296703297</v>
      </c>
      <c r="N4" t="s">
        <v>327</v>
      </c>
      <c r="O4" s="3">
        <v>0</v>
      </c>
      <c r="P4" t="s">
        <v>328</v>
      </c>
    </row>
    <row r="5" spans="1:16">
      <c r="A5" t="s">
        <v>163</v>
      </c>
      <c r="B5" s="2">
        <v>456</v>
      </c>
      <c r="C5" s="3">
        <v>62.719298245614027</v>
      </c>
      <c r="D5" t="s">
        <v>329</v>
      </c>
      <c r="E5" s="3">
        <v>46.929824561403507</v>
      </c>
      <c r="F5" t="s">
        <v>330</v>
      </c>
      <c r="G5" s="3">
        <v>1.0964912280701753</v>
      </c>
      <c r="H5" t="s">
        <v>331</v>
      </c>
      <c r="I5" s="3">
        <v>0.8771929824561403</v>
      </c>
      <c r="J5" s="3" t="s">
        <v>332</v>
      </c>
      <c r="K5" s="3">
        <v>11.842105263157894</v>
      </c>
      <c r="L5" t="s">
        <v>333</v>
      </c>
      <c r="M5" s="3">
        <v>3.9473684210526314</v>
      </c>
      <c r="N5" t="s">
        <v>334</v>
      </c>
      <c r="O5" s="3">
        <v>0.21929824561403508</v>
      </c>
      <c r="P5" t="s">
        <v>162</v>
      </c>
    </row>
    <row r="6" spans="1:16">
      <c r="A6" t="s">
        <v>171</v>
      </c>
      <c r="B6" s="2">
        <v>144</v>
      </c>
      <c r="C6" s="3">
        <v>59.722222222222221</v>
      </c>
      <c r="D6" t="s">
        <v>335</v>
      </c>
      <c r="E6" s="3">
        <v>47.916666666666664</v>
      </c>
      <c r="F6" t="s">
        <v>336</v>
      </c>
      <c r="G6" s="3">
        <v>18.75</v>
      </c>
      <c r="H6" t="s">
        <v>337</v>
      </c>
      <c r="I6" s="3">
        <v>0</v>
      </c>
      <c r="J6" s="3" t="s">
        <v>338</v>
      </c>
      <c r="K6" s="3">
        <v>11.805555555555555</v>
      </c>
      <c r="L6" t="s">
        <v>339</v>
      </c>
      <c r="M6" s="3">
        <v>0</v>
      </c>
      <c r="N6" t="s">
        <v>201</v>
      </c>
      <c r="O6" s="3">
        <v>0</v>
      </c>
      <c r="P6" t="s">
        <v>201</v>
      </c>
    </row>
    <row r="7" spans="1:16">
      <c r="A7" t="s">
        <v>135</v>
      </c>
      <c r="B7" s="2">
        <v>154</v>
      </c>
      <c r="C7" s="3">
        <v>20.779220779220779</v>
      </c>
      <c r="D7" t="s">
        <v>340</v>
      </c>
      <c r="E7" s="3">
        <v>16.233766233766232</v>
      </c>
      <c r="F7" t="s">
        <v>341</v>
      </c>
      <c r="G7" s="3">
        <v>3.2467532467532472</v>
      </c>
      <c r="H7" t="s">
        <v>342</v>
      </c>
      <c r="I7" s="3">
        <v>0</v>
      </c>
      <c r="J7" s="3" t="s">
        <v>181</v>
      </c>
      <c r="K7" s="3">
        <v>1.948051948051948</v>
      </c>
      <c r="L7" t="s">
        <v>343</v>
      </c>
      <c r="M7" s="3">
        <v>2.5974025974025974</v>
      </c>
      <c r="N7" t="s">
        <v>344</v>
      </c>
      <c r="O7" s="3">
        <v>0</v>
      </c>
      <c r="P7" t="s">
        <v>170</v>
      </c>
    </row>
    <row r="8" spans="1:16">
      <c r="A8" t="s">
        <v>184</v>
      </c>
      <c r="B8" s="2">
        <v>293</v>
      </c>
      <c r="C8" s="3">
        <v>36.860068259385663</v>
      </c>
      <c r="D8" t="s">
        <v>345</v>
      </c>
      <c r="E8" s="3">
        <v>28.327645051194537</v>
      </c>
      <c r="F8" t="s">
        <v>346</v>
      </c>
      <c r="G8" s="3"/>
      <c r="I8" s="3"/>
      <c r="J8" s="3"/>
      <c r="K8" s="3">
        <v>8.8737201365187701</v>
      </c>
      <c r="L8" t="s">
        <v>347</v>
      </c>
      <c r="M8" s="3">
        <v>0.34129692832764502</v>
      </c>
      <c r="N8" t="s">
        <v>188</v>
      </c>
      <c r="O8" s="3">
        <v>0</v>
      </c>
      <c r="P8" t="s">
        <v>348</v>
      </c>
    </row>
    <row r="9" spans="1:16">
      <c r="A9" t="s">
        <v>136</v>
      </c>
      <c r="B9" s="2">
        <v>697</v>
      </c>
      <c r="C9" s="3">
        <v>1.2912482065997131</v>
      </c>
      <c r="D9" t="s">
        <v>349</v>
      </c>
      <c r="E9" s="3">
        <v>0.71736011477761841</v>
      </c>
      <c r="F9" t="s">
        <v>350</v>
      </c>
      <c r="G9" s="3">
        <v>0.43041606886657102</v>
      </c>
      <c r="H9" t="s">
        <v>351</v>
      </c>
      <c r="I9" s="3">
        <v>0</v>
      </c>
      <c r="J9" s="3" t="s">
        <v>352</v>
      </c>
      <c r="K9" s="3">
        <v>0.57388809182209466</v>
      </c>
      <c r="L9" t="s">
        <v>353</v>
      </c>
      <c r="M9" s="3">
        <v>0</v>
      </c>
      <c r="N9" t="s">
        <v>354</v>
      </c>
      <c r="O9" s="3">
        <v>0</v>
      </c>
      <c r="P9" t="s">
        <v>354</v>
      </c>
    </row>
    <row r="10" spans="1:16">
      <c r="A10" t="s">
        <v>137</v>
      </c>
      <c r="B10" s="2">
        <v>150</v>
      </c>
      <c r="C10" s="3">
        <v>56.000000000000007</v>
      </c>
      <c r="D10" t="s">
        <v>355</v>
      </c>
      <c r="E10" s="3">
        <v>42.000000000000007</v>
      </c>
      <c r="F10" t="s">
        <v>273</v>
      </c>
      <c r="G10" s="3">
        <v>0.66666666666666674</v>
      </c>
      <c r="H10" t="s">
        <v>236</v>
      </c>
      <c r="I10" s="3">
        <v>1.3333333333333335</v>
      </c>
      <c r="J10" s="3" t="s">
        <v>167</v>
      </c>
      <c r="K10" s="3">
        <v>9.3333333333333339</v>
      </c>
      <c r="L10" t="s">
        <v>356</v>
      </c>
      <c r="M10" s="3">
        <v>4.666666666666667</v>
      </c>
      <c r="N10" t="s">
        <v>357</v>
      </c>
      <c r="O10" s="3">
        <v>0</v>
      </c>
      <c r="P10" t="s">
        <v>170</v>
      </c>
    </row>
    <row r="11" spans="1:16">
      <c r="A11" t="s">
        <v>202</v>
      </c>
      <c r="B11" s="2">
        <v>301</v>
      </c>
      <c r="C11" s="3">
        <v>1.3289036544850499</v>
      </c>
      <c r="D11" t="s">
        <v>358</v>
      </c>
      <c r="E11" s="3">
        <v>1.3289036544850499</v>
      </c>
      <c r="F11" t="s">
        <v>358</v>
      </c>
      <c r="G11" s="3"/>
      <c r="I11" s="3"/>
      <c r="J11" s="3"/>
      <c r="K11" s="3">
        <v>0</v>
      </c>
      <c r="L11" t="s">
        <v>162</v>
      </c>
      <c r="M11" s="3">
        <v>0</v>
      </c>
      <c r="N11" t="s">
        <v>162</v>
      </c>
      <c r="O11" s="3">
        <v>0</v>
      </c>
      <c r="P11" t="s">
        <v>162</v>
      </c>
    </row>
    <row r="12" spans="1:16">
      <c r="A12" t="s">
        <v>204</v>
      </c>
      <c r="B12" s="2">
        <v>406</v>
      </c>
      <c r="C12" s="3">
        <v>8.8669950738916246</v>
      </c>
      <c r="D12" t="s">
        <v>359</v>
      </c>
      <c r="E12" s="3">
        <v>6.8965517241379306</v>
      </c>
      <c r="F12" t="s">
        <v>360</v>
      </c>
      <c r="G12" s="3">
        <v>0.73891625615763545</v>
      </c>
      <c r="H12" t="s">
        <v>361</v>
      </c>
      <c r="I12" s="3">
        <v>0.24630541871921177</v>
      </c>
      <c r="J12" s="3" t="s">
        <v>362</v>
      </c>
      <c r="K12" s="3">
        <v>1.7241379310344827</v>
      </c>
      <c r="L12" t="s">
        <v>363</v>
      </c>
      <c r="M12" s="3">
        <v>0.24630541871921177</v>
      </c>
      <c r="N12" t="s">
        <v>364</v>
      </c>
      <c r="O12" s="3">
        <v>0</v>
      </c>
      <c r="P12" t="s">
        <v>259</v>
      </c>
    </row>
    <row r="13" spans="1:16">
      <c r="A13" t="s">
        <v>128</v>
      </c>
      <c r="B13" s="2">
        <v>333</v>
      </c>
      <c r="C13" s="3">
        <v>41.141141141141141</v>
      </c>
      <c r="D13" t="s">
        <v>365</v>
      </c>
      <c r="E13" s="3">
        <v>40.213145476303367</v>
      </c>
      <c r="F13" t="s">
        <v>366</v>
      </c>
      <c r="G13" s="3"/>
      <c r="I13" s="3"/>
      <c r="J13" s="3"/>
      <c r="K13" s="3">
        <v>0.92799566483777007</v>
      </c>
      <c r="L13" t="s">
        <v>367</v>
      </c>
      <c r="M13" s="3">
        <v>0</v>
      </c>
      <c r="N13" t="s">
        <v>156</v>
      </c>
      <c r="O13" s="3">
        <v>0</v>
      </c>
      <c r="P13" t="s">
        <v>156</v>
      </c>
    </row>
    <row r="14" spans="1:16">
      <c r="A14" t="s">
        <v>119</v>
      </c>
      <c r="B14" s="2">
        <v>300</v>
      </c>
      <c r="C14" s="3">
        <v>62</v>
      </c>
      <c r="D14" t="s">
        <v>368</v>
      </c>
      <c r="E14" s="3">
        <v>50.333333333333329</v>
      </c>
      <c r="F14" t="s">
        <v>369</v>
      </c>
      <c r="G14" s="3">
        <v>21.666666666666668</v>
      </c>
      <c r="H14" t="s">
        <v>217</v>
      </c>
      <c r="I14" s="3">
        <v>0</v>
      </c>
      <c r="J14" s="3" t="s">
        <v>268</v>
      </c>
      <c r="K14" s="3">
        <v>9.3333333333333339</v>
      </c>
      <c r="L14" t="s">
        <v>370</v>
      </c>
      <c r="M14" s="3">
        <v>2.3333333333333335</v>
      </c>
      <c r="N14" t="s">
        <v>371</v>
      </c>
      <c r="O14" s="3">
        <v>0</v>
      </c>
      <c r="P14" t="s">
        <v>162</v>
      </c>
    </row>
    <row r="15" spans="1:16">
      <c r="A15" t="s">
        <v>129</v>
      </c>
      <c r="B15" s="2">
        <v>300</v>
      </c>
      <c r="C15" s="3">
        <v>9.0000000000000018</v>
      </c>
      <c r="D15" t="s">
        <v>372</v>
      </c>
      <c r="E15" s="3">
        <v>6.3333333333333339</v>
      </c>
      <c r="F15" t="s">
        <v>373</v>
      </c>
      <c r="G15" s="3">
        <v>1.6666666666666667</v>
      </c>
      <c r="H15" t="s">
        <v>374</v>
      </c>
      <c r="I15" s="3">
        <v>0.33333333333333331</v>
      </c>
      <c r="J15" s="3" t="s">
        <v>375</v>
      </c>
      <c r="K15" s="3">
        <v>2.6666666666666665</v>
      </c>
      <c r="L15" t="s">
        <v>287</v>
      </c>
      <c r="M15" s="3">
        <v>0</v>
      </c>
      <c r="N15" t="s">
        <v>162</v>
      </c>
      <c r="O15" s="3">
        <v>0</v>
      </c>
      <c r="P15" t="s">
        <v>162</v>
      </c>
    </row>
    <row r="16" spans="1:16">
      <c r="A16" t="s">
        <v>120</v>
      </c>
      <c r="B16" s="2">
        <v>479</v>
      </c>
      <c r="C16" s="3">
        <v>46.764091858037574</v>
      </c>
      <c r="D16" t="s">
        <v>376</v>
      </c>
      <c r="E16" s="3">
        <v>29.227557411273487</v>
      </c>
      <c r="F16" t="s">
        <v>377</v>
      </c>
      <c r="G16" s="3"/>
      <c r="I16" s="3"/>
      <c r="J16" s="3"/>
      <c r="K16" s="3">
        <v>17.954070981210855</v>
      </c>
      <c r="L16" t="s">
        <v>378</v>
      </c>
      <c r="M16" s="3">
        <v>0.41753653444676403</v>
      </c>
      <c r="N16" t="s">
        <v>379</v>
      </c>
      <c r="O16" s="3">
        <v>0.20876826722338201</v>
      </c>
      <c r="P16" t="s">
        <v>162</v>
      </c>
    </row>
    <row r="17" spans="1:16">
      <c r="A17" t="s">
        <v>228</v>
      </c>
      <c r="B17" s="2">
        <v>150</v>
      </c>
      <c r="C17" s="3">
        <v>38</v>
      </c>
      <c r="D17" t="s">
        <v>380</v>
      </c>
      <c r="E17" s="3">
        <v>9.3333333333333321</v>
      </c>
      <c r="F17" t="s">
        <v>356</v>
      </c>
      <c r="G17" s="3">
        <v>0.66666666666666663</v>
      </c>
      <c r="H17" t="s">
        <v>236</v>
      </c>
      <c r="I17" s="3">
        <v>0.66666666666666663</v>
      </c>
      <c r="J17" s="3" t="s">
        <v>236</v>
      </c>
      <c r="K17" s="3">
        <v>27.999999999999996</v>
      </c>
      <c r="L17" t="s">
        <v>381</v>
      </c>
      <c r="M17" s="3">
        <v>0.66666666666666663</v>
      </c>
      <c r="N17" t="s">
        <v>276</v>
      </c>
      <c r="O17" s="3">
        <v>0</v>
      </c>
      <c r="P17" t="s">
        <v>170</v>
      </c>
    </row>
    <row r="18" spans="1:16">
      <c r="A18" t="s">
        <v>233</v>
      </c>
      <c r="B18" s="2">
        <v>150</v>
      </c>
      <c r="C18" s="3">
        <v>60.666666666666671</v>
      </c>
      <c r="D18" t="s">
        <v>382</v>
      </c>
      <c r="E18" s="3">
        <v>39.333333333333329</v>
      </c>
      <c r="F18" t="s">
        <v>383</v>
      </c>
      <c r="G18" s="3">
        <v>7.333333333333333</v>
      </c>
      <c r="H18" t="s">
        <v>384</v>
      </c>
      <c r="I18" s="3">
        <v>0</v>
      </c>
      <c r="J18" s="3" t="s">
        <v>181</v>
      </c>
      <c r="K18" s="3">
        <v>20.666666666666668</v>
      </c>
      <c r="L18" t="s">
        <v>385</v>
      </c>
      <c r="M18" s="3">
        <v>0.66666666666666674</v>
      </c>
      <c r="N18" t="s">
        <v>276</v>
      </c>
      <c r="O18" s="3">
        <v>0</v>
      </c>
      <c r="P18" t="s">
        <v>170</v>
      </c>
    </row>
    <row r="19" spans="1:16">
      <c r="A19" t="s">
        <v>116</v>
      </c>
      <c r="B19" s="2">
        <v>45</v>
      </c>
      <c r="C19" s="3">
        <v>17.777777777777779</v>
      </c>
      <c r="D19" t="s">
        <v>386</v>
      </c>
      <c r="E19" s="3">
        <v>17.777777777777779</v>
      </c>
      <c r="F19" t="s">
        <v>386</v>
      </c>
      <c r="G19" s="3">
        <v>0</v>
      </c>
      <c r="H19" t="s">
        <v>387</v>
      </c>
      <c r="I19" s="3">
        <v>0</v>
      </c>
      <c r="J19" t="s">
        <v>387</v>
      </c>
      <c r="K19" s="3">
        <v>0</v>
      </c>
      <c r="L19" t="s">
        <v>388</v>
      </c>
      <c r="M19" s="3">
        <v>0</v>
      </c>
      <c r="N19" t="s">
        <v>388</v>
      </c>
      <c r="O19" s="3">
        <v>0</v>
      </c>
      <c r="P19" t="s">
        <v>388</v>
      </c>
    </row>
    <row r="20" spans="1:16">
      <c r="A20" t="s">
        <v>121</v>
      </c>
      <c r="B20" s="2">
        <v>126</v>
      </c>
      <c r="C20" s="3">
        <v>46.825396825396822</v>
      </c>
      <c r="D20" t="s">
        <v>389</v>
      </c>
      <c r="E20" s="3">
        <v>41.896407685881371</v>
      </c>
      <c r="F20" t="s">
        <v>390</v>
      </c>
      <c r="G20" s="3">
        <v>4.1074909495962126</v>
      </c>
      <c r="H20" t="s">
        <v>391</v>
      </c>
      <c r="I20" s="3">
        <v>0.82149818991924251</v>
      </c>
      <c r="J20" s="3" t="s">
        <v>392</v>
      </c>
      <c r="K20" s="3">
        <v>4.1074909495962126</v>
      </c>
      <c r="L20" t="s">
        <v>393</v>
      </c>
      <c r="M20" s="3">
        <v>0.82149818991924251</v>
      </c>
      <c r="N20" t="s">
        <v>394</v>
      </c>
      <c r="O20" s="3">
        <v>0</v>
      </c>
      <c r="P20" t="s">
        <v>395</v>
      </c>
    </row>
    <row r="21" spans="1:16">
      <c r="A21" t="s">
        <v>122</v>
      </c>
      <c r="B21" s="2">
        <v>300</v>
      </c>
      <c r="C21" s="3">
        <v>15.666666666666668</v>
      </c>
      <c r="D21" t="s">
        <v>396</v>
      </c>
      <c r="E21" s="3">
        <v>13</v>
      </c>
      <c r="F21" t="s">
        <v>397</v>
      </c>
      <c r="G21" s="3"/>
      <c r="I21" s="3"/>
      <c r="J21" s="3"/>
      <c r="K21" s="3">
        <v>2.666666666666667</v>
      </c>
      <c r="L21" t="s">
        <v>287</v>
      </c>
      <c r="M21" s="3">
        <v>0</v>
      </c>
      <c r="N21" t="s">
        <v>162</v>
      </c>
      <c r="O21" s="3">
        <v>0</v>
      </c>
      <c r="P21" t="s">
        <v>162</v>
      </c>
    </row>
    <row r="22" spans="1:16">
      <c r="A22" t="s">
        <v>123</v>
      </c>
      <c r="B22" s="2">
        <v>308</v>
      </c>
      <c r="C22" s="3">
        <v>38.961038961038966</v>
      </c>
      <c r="D22" t="s">
        <v>398</v>
      </c>
      <c r="E22" s="3">
        <v>25.649350649350648</v>
      </c>
      <c r="F22" t="s">
        <v>399</v>
      </c>
      <c r="G22" s="3">
        <v>5.1948051948051948</v>
      </c>
      <c r="H22" t="s">
        <v>400</v>
      </c>
      <c r="I22" s="3">
        <v>0</v>
      </c>
      <c r="J22" s="3" t="s">
        <v>268</v>
      </c>
      <c r="K22" s="3">
        <v>11.363636363636363</v>
      </c>
      <c r="L22" t="s">
        <v>401</v>
      </c>
      <c r="M22" s="3">
        <v>1.948051948051948</v>
      </c>
      <c r="N22" t="s">
        <v>302</v>
      </c>
      <c r="O22" s="3">
        <v>0</v>
      </c>
      <c r="P22" t="s">
        <v>162</v>
      </c>
    </row>
    <row r="23" spans="1:16">
      <c r="A23" t="s">
        <v>139</v>
      </c>
      <c r="B23" s="2">
        <v>402</v>
      </c>
      <c r="C23" s="3">
        <v>46.766169154228855</v>
      </c>
      <c r="D23" t="s">
        <v>402</v>
      </c>
      <c r="E23" s="3">
        <v>43.66564965229103</v>
      </c>
      <c r="F23" t="s">
        <v>403</v>
      </c>
      <c r="G23" s="3">
        <v>5.4259091283911927</v>
      </c>
      <c r="H23" t="s">
        <v>404</v>
      </c>
      <c r="I23" s="3">
        <v>0</v>
      </c>
      <c r="J23" s="3" t="s">
        <v>256</v>
      </c>
      <c r="K23" s="3">
        <v>0</v>
      </c>
      <c r="L23" t="s">
        <v>259</v>
      </c>
      <c r="M23" s="3">
        <v>3.1005195019378244</v>
      </c>
      <c r="N23" t="s">
        <v>405</v>
      </c>
      <c r="O23" s="3">
        <v>0</v>
      </c>
      <c r="P23" t="s">
        <v>259</v>
      </c>
    </row>
    <row r="24" spans="1:16">
      <c r="A24" t="s">
        <v>140</v>
      </c>
      <c r="B24" s="2">
        <v>450</v>
      </c>
      <c r="C24" s="3">
        <v>73.554884189325278</v>
      </c>
      <c r="D24" t="s">
        <v>406</v>
      </c>
      <c r="E24" s="3">
        <v>48.590802282645178</v>
      </c>
      <c r="F24" t="s">
        <v>407</v>
      </c>
      <c r="G24" s="3">
        <v>13.150721718697547</v>
      </c>
      <c r="H24" t="s">
        <v>408</v>
      </c>
      <c r="I24" s="3">
        <v>0.22289358845250085</v>
      </c>
      <c r="J24" s="3" t="s">
        <v>268</v>
      </c>
      <c r="K24" s="3">
        <v>21.843571668345081</v>
      </c>
      <c r="L24" t="s">
        <v>409</v>
      </c>
      <c r="M24" s="3">
        <v>3.1205102383350116</v>
      </c>
      <c r="N24" t="s">
        <v>410</v>
      </c>
      <c r="O24" s="3">
        <v>0</v>
      </c>
      <c r="P24" t="s">
        <v>214</v>
      </c>
    </row>
    <row r="25" spans="1:16">
      <c r="A25" t="s">
        <v>271</v>
      </c>
      <c r="B25" s="2">
        <v>150</v>
      </c>
      <c r="C25" s="3">
        <v>85.970149253731336</v>
      </c>
      <c r="D25" t="s">
        <v>411</v>
      </c>
      <c r="E25" s="3">
        <v>70.522388059701498</v>
      </c>
      <c r="F25" t="s">
        <v>412</v>
      </c>
      <c r="G25" s="3">
        <v>44.328358208955223</v>
      </c>
      <c r="H25" t="s">
        <v>413</v>
      </c>
      <c r="I25" s="3">
        <v>0.67164179104477606</v>
      </c>
      <c r="J25" s="3" t="s">
        <v>236</v>
      </c>
      <c r="K25" s="3">
        <v>15.447761194029852</v>
      </c>
      <c r="L25" t="s">
        <v>414</v>
      </c>
      <c r="M25" s="3">
        <v>0</v>
      </c>
      <c r="N25" t="s">
        <v>170</v>
      </c>
      <c r="O25" s="3">
        <v>0</v>
      </c>
      <c r="P25" t="s">
        <v>170</v>
      </c>
    </row>
    <row r="26" spans="1:16">
      <c r="A26" t="s">
        <v>277</v>
      </c>
      <c r="B26" s="2">
        <v>151</v>
      </c>
      <c r="C26" s="3">
        <v>48.344370860927157</v>
      </c>
      <c r="D26" t="s">
        <v>415</v>
      </c>
      <c r="E26" s="3">
        <v>39.735099337748345</v>
      </c>
      <c r="F26" t="s">
        <v>416</v>
      </c>
      <c r="G26" s="3">
        <v>15.231788079470199</v>
      </c>
      <c r="H26" t="s">
        <v>417</v>
      </c>
      <c r="I26" s="3">
        <v>0.66225165562913912</v>
      </c>
      <c r="J26" s="3" t="s">
        <v>418</v>
      </c>
      <c r="K26" s="3">
        <v>8.6092715231788084</v>
      </c>
      <c r="L26" t="s">
        <v>419</v>
      </c>
      <c r="M26" s="3">
        <v>0</v>
      </c>
      <c r="N26" t="s">
        <v>170</v>
      </c>
      <c r="O26" s="3">
        <v>0</v>
      </c>
      <c r="P26" t="s">
        <v>170</v>
      </c>
    </row>
    <row r="27" spans="1:16">
      <c r="A27" t="s">
        <v>130</v>
      </c>
      <c r="B27" s="2">
        <v>564</v>
      </c>
      <c r="C27" s="3">
        <v>42.553191489361701</v>
      </c>
      <c r="D27" t="s">
        <v>420</v>
      </c>
      <c r="E27" s="3">
        <v>33.687943262411345</v>
      </c>
      <c r="F27" t="s">
        <v>421</v>
      </c>
      <c r="G27" s="3">
        <v>5.6737588652482271</v>
      </c>
      <c r="H27" t="s">
        <v>422</v>
      </c>
      <c r="I27" s="3">
        <v>0.1773049645390071</v>
      </c>
      <c r="J27" s="3" t="s">
        <v>423</v>
      </c>
      <c r="K27" s="3">
        <v>6.9148936170212769</v>
      </c>
      <c r="L27" t="s">
        <v>424</v>
      </c>
      <c r="M27" s="3">
        <v>1.9503546099290781</v>
      </c>
      <c r="N27" t="s">
        <v>425</v>
      </c>
      <c r="O27" s="3">
        <v>0</v>
      </c>
      <c r="P27" t="s">
        <v>426</v>
      </c>
    </row>
    <row r="28" spans="1:16">
      <c r="A28" t="s">
        <v>288</v>
      </c>
      <c r="B28" s="2">
        <v>302</v>
      </c>
      <c r="C28" s="3">
        <v>2.9801324503311259</v>
      </c>
      <c r="D28" t="s">
        <v>220</v>
      </c>
      <c r="E28" s="3">
        <v>1.6556291390728477</v>
      </c>
      <c r="F28" t="s">
        <v>203</v>
      </c>
      <c r="G28" s="3"/>
      <c r="I28" s="3"/>
      <c r="J28" s="3"/>
      <c r="K28" s="3">
        <v>1.324503311258278</v>
      </c>
      <c r="L28" t="s">
        <v>358</v>
      </c>
      <c r="M28" s="3">
        <v>0</v>
      </c>
      <c r="N28" t="s">
        <v>162</v>
      </c>
      <c r="O28" s="3">
        <v>0</v>
      </c>
      <c r="P28" t="s">
        <v>162</v>
      </c>
    </row>
    <row r="29" spans="1:16" ht="14.65" thickBot="1">
      <c r="A29" s="5" t="s">
        <v>427</v>
      </c>
      <c r="B29" s="6">
        <v>308</v>
      </c>
      <c r="C29" s="7">
        <v>1.6233766233766231</v>
      </c>
      <c r="D29" s="7" t="s">
        <v>160</v>
      </c>
      <c r="E29" s="7">
        <v>0.9740259740259738</v>
      </c>
      <c r="F29" s="7" t="s">
        <v>161</v>
      </c>
      <c r="G29" s="7">
        <v>0.32467532467532467</v>
      </c>
      <c r="H29" s="7" t="s">
        <v>375</v>
      </c>
      <c r="I29" s="7">
        <v>0</v>
      </c>
      <c r="J29" s="7" t="s">
        <v>268</v>
      </c>
      <c r="K29" s="7">
        <v>0.64935064935064934</v>
      </c>
      <c r="L29" s="7" t="s">
        <v>428</v>
      </c>
      <c r="M29" s="7">
        <v>0</v>
      </c>
      <c r="N29" s="7" t="s">
        <v>162</v>
      </c>
      <c r="O29" s="7">
        <v>0</v>
      </c>
      <c r="P29" s="7" t="s">
        <v>162</v>
      </c>
    </row>
    <row r="30" spans="1:16" ht="14.65" thickBot="1">
      <c r="A30" s="4" t="s">
        <v>429</v>
      </c>
      <c r="B30" s="8">
        <f>SUM(B3:B29)</f>
        <v>7968</v>
      </c>
      <c r="C30" s="9">
        <v>34.974348177302652</v>
      </c>
      <c r="D30" s="9" t="s">
        <v>430</v>
      </c>
      <c r="E30" s="9">
        <v>26.824617478473094</v>
      </c>
      <c r="F30" s="9" t="s">
        <v>431</v>
      </c>
      <c r="G30" s="9">
        <v>6.2659292584365254</v>
      </c>
      <c r="H30" s="9" t="s">
        <v>432</v>
      </c>
      <c r="I30" s="9">
        <v>0.60801469893184612</v>
      </c>
      <c r="J30" s="9" t="s">
        <v>433</v>
      </c>
      <c r="K30" s="9">
        <v>7.0251942148050111</v>
      </c>
      <c r="L30" s="9" t="s">
        <v>434</v>
      </c>
      <c r="M30" s="9">
        <v>1.2003479323857484</v>
      </c>
      <c r="N30" s="9" t="s">
        <v>435</v>
      </c>
      <c r="O30" s="9">
        <v>5.0540965574136787E-2</v>
      </c>
      <c r="P30" s="9" t="s">
        <v>297</v>
      </c>
    </row>
    <row r="31" spans="1:16">
      <c r="A31" t="s">
        <v>436</v>
      </c>
      <c r="B31" s="2">
        <v>153</v>
      </c>
      <c r="C31" s="3">
        <v>0</v>
      </c>
      <c r="D31" t="s">
        <v>170</v>
      </c>
      <c r="E31" s="3">
        <v>0</v>
      </c>
      <c r="F31" t="s">
        <v>170</v>
      </c>
      <c r="G31" s="3">
        <v>0</v>
      </c>
      <c r="H31" t="s">
        <v>181</v>
      </c>
      <c r="I31" s="3">
        <v>0</v>
      </c>
      <c r="J31" t="s">
        <v>181</v>
      </c>
      <c r="K31" s="3">
        <v>0</v>
      </c>
      <c r="L31" t="s">
        <v>170</v>
      </c>
      <c r="M31" s="3">
        <v>0</v>
      </c>
      <c r="N31" t="s">
        <v>170</v>
      </c>
      <c r="O31" s="3">
        <v>0</v>
      </c>
      <c r="P31" t="s">
        <v>170</v>
      </c>
    </row>
    <row r="32" spans="1:16">
      <c r="A32" t="s">
        <v>437</v>
      </c>
      <c r="B32" s="2">
        <v>363</v>
      </c>
      <c r="C32" s="3">
        <v>0.55096418732782371</v>
      </c>
      <c r="D32" t="s">
        <v>438</v>
      </c>
      <c r="E32" s="3">
        <v>0.27548209366391185</v>
      </c>
      <c r="F32" t="s">
        <v>328</v>
      </c>
      <c r="K32" s="3">
        <v>0.27548209366391185</v>
      </c>
      <c r="L32" t="s">
        <v>328</v>
      </c>
      <c r="M32" s="3">
        <v>0</v>
      </c>
      <c r="N32" t="s">
        <v>194</v>
      </c>
      <c r="O32" s="3">
        <v>0</v>
      </c>
      <c r="P32" t="s">
        <v>194</v>
      </c>
    </row>
    <row r="33" spans="1:16" ht="14.65" thickBot="1">
      <c r="A33" s="5" t="s">
        <v>142</v>
      </c>
      <c r="B33" s="6">
        <v>510</v>
      </c>
      <c r="C33" s="7">
        <v>4.117647058823529</v>
      </c>
      <c r="D33" s="7" t="s">
        <v>439</v>
      </c>
      <c r="E33" s="7">
        <v>1.5686274509803921</v>
      </c>
      <c r="F33" s="7" t="s">
        <v>440</v>
      </c>
      <c r="G33" s="7">
        <v>0</v>
      </c>
      <c r="H33" s="7" t="s">
        <v>441</v>
      </c>
      <c r="I33" s="7">
        <v>0.58823529411764697</v>
      </c>
      <c r="J33" s="7" t="s">
        <v>442</v>
      </c>
      <c r="K33" s="7">
        <v>2.5490196078431371</v>
      </c>
      <c r="L33" s="7" t="s">
        <v>443</v>
      </c>
      <c r="M33" s="7">
        <v>0</v>
      </c>
      <c r="N33" s="7" t="s">
        <v>426</v>
      </c>
      <c r="O33" s="7">
        <v>0</v>
      </c>
      <c r="P33" s="7" t="s">
        <v>426</v>
      </c>
    </row>
    <row r="34" spans="1:16" ht="14.65" thickBot="1">
      <c r="A34" s="4" t="s">
        <v>444</v>
      </c>
      <c r="B34" s="8">
        <v>1026</v>
      </c>
      <c r="C34" s="9">
        <v>2.2000000000000002</v>
      </c>
      <c r="D34" s="21" t="s">
        <v>445</v>
      </c>
      <c r="E34" s="9">
        <v>0.9</v>
      </c>
      <c r="F34" s="21" t="s">
        <v>446</v>
      </c>
      <c r="G34" s="9">
        <v>0</v>
      </c>
      <c r="H34" s="21" t="s">
        <v>310</v>
      </c>
      <c r="I34" s="9">
        <v>0.5</v>
      </c>
      <c r="J34" s="21" t="s">
        <v>351</v>
      </c>
      <c r="K34" s="9">
        <v>1.4</v>
      </c>
      <c r="L34" s="21" t="s">
        <v>447</v>
      </c>
      <c r="M34" s="9">
        <v>0</v>
      </c>
      <c r="N34" s="21" t="s">
        <v>448</v>
      </c>
      <c r="O34" s="9">
        <v>0</v>
      </c>
      <c r="P34" s="21" t="s">
        <v>448</v>
      </c>
    </row>
    <row r="35" spans="1:16" ht="14.65" thickBot="1">
      <c r="A35" s="4" t="s">
        <v>311</v>
      </c>
      <c r="B35" s="8">
        <v>8994</v>
      </c>
      <c r="C35" s="9">
        <v>31.2</v>
      </c>
      <c r="D35" s="21" t="s">
        <v>449</v>
      </c>
      <c r="E35" s="9">
        <v>23.9</v>
      </c>
      <c r="F35" s="21" t="s">
        <v>450</v>
      </c>
      <c r="G35" s="9">
        <v>5.6</v>
      </c>
      <c r="H35" s="21" t="s">
        <v>451</v>
      </c>
      <c r="I35" s="9">
        <v>0.6</v>
      </c>
      <c r="J35" s="21" t="s">
        <v>433</v>
      </c>
      <c r="K35" s="9">
        <v>6.4</v>
      </c>
      <c r="L35" s="21" t="s">
        <v>452</v>
      </c>
      <c r="M35" s="9">
        <v>1.1000000000000001</v>
      </c>
      <c r="N35" s="21" t="s">
        <v>453</v>
      </c>
      <c r="O35" s="9">
        <v>0</v>
      </c>
      <c r="P35" s="9" t="s">
        <v>297</v>
      </c>
    </row>
    <row r="36" spans="1:16">
      <c r="A36" s="22"/>
      <c r="B36" s="23"/>
      <c r="C36" s="24"/>
      <c r="D36" s="25"/>
      <c r="E36" s="24"/>
      <c r="F36" s="25"/>
      <c r="G36" s="24"/>
      <c r="H36" s="25"/>
      <c r="I36" s="24"/>
      <c r="J36" s="25"/>
      <c r="K36" s="24"/>
      <c r="L36" s="25"/>
      <c r="M36" s="24"/>
      <c r="N36" s="25"/>
      <c r="O36" s="24"/>
      <c r="P36" s="24"/>
    </row>
    <row r="37" spans="1:16">
      <c r="A37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5"/>
  <dimension ref="A1:P36"/>
  <sheetViews>
    <sheetView workbookViewId="0">
      <selection activeCell="A31" sqref="A31:A32"/>
    </sheetView>
  </sheetViews>
  <sheetFormatPr defaultColWidth="10.7109375" defaultRowHeight="14.25"/>
  <cols>
    <col min="1" max="1" width="23.140625" customWidth="1"/>
    <col min="7" max="7" width="12.5703125" customWidth="1"/>
    <col min="8" max="8" width="13.140625" customWidth="1"/>
    <col min="9" max="9" width="12.28515625" customWidth="1"/>
    <col min="10" max="10" width="13.4257812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149</v>
      </c>
      <c r="B3" s="2">
        <v>37</v>
      </c>
      <c r="C3" s="2">
        <v>32</v>
      </c>
      <c r="D3" s="3">
        <f>(C3/B3)*100</f>
        <v>86.486486486486484</v>
      </c>
      <c r="E3" s="2">
        <v>29</v>
      </c>
      <c r="F3" s="3">
        <f>(E3/B3)*100</f>
        <v>78.378378378378372</v>
      </c>
      <c r="G3">
        <v>7</v>
      </c>
      <c r="H3" s="3">
        <f>(G3/B3)*100</f>
        <v>18.918918918918919</v>
      </c>
      <c r="I3">
        <v>8</v>
      </c>
      <c r="J3" s="3">
        <f>(I3/B3)*100</f>
        <v>21.621621621621621</v>
      </c>
      <c r="K3" s="2">
        <v>2</v>
      </c>
      <c r="L3" s="3">
        <f>(K3/B3)*100</f>
        <v>5.4054054054054053</v>
      </c>
      <c r="M3" s="2">
        <v>1</v>
      </c>
      <c r="N3" s="3">
        <f>(M3/B3)*100</f>
        <v>2.7027027027027026</v>
      </c>
      <c r="O3" s="2">
        <v>2</v>
      </c>
      <c r="P3" s="3">
        <f>(O3/B3)*100</f>
        <v>5.4054054054054053</v>
      </c>
    </row>
    <row r="4" spans="1:16">
      <c r="A4" t="s">
        <v>134</v>
      </c>
      <c r="B4" s="2">
        <v>182</v>
      </c>
      <c r="C4" s="2">
        <v>175</v>
      </c>
      <c r="D4" s="3">
        <f t="shared" ref="D4:D34" si="0">(C4/B4)*100</f>
        <v>96.15384615384616</v>
      </c>
      <c r="E4" s="2">
        <v>163</v>
      </c>
      <c r="F4" s="3">
        <f t="shared" ref="F4:F34" si="1">(E4/B4)*100</f>
        <v>89.560439560439562</v>
      </c>
      <c r="G4">
        <v>15</v>
      </c>
      <c r="H4" s="3">
        <f t="shared" ref="H4:H32" si="2">(G4/B4)*100</f>
        <v>8.2417582417582409</v>
      </c>
      <c r="I4">
        <v>14</v>
      </c>
      <c r="J4" s="3">
        <f t="shared" ref="J4:J32" si="3">(I4/B4)*100</f>
        <v>7.6923076923076925</v>
      </c>
      <c r="K4" s="2">
        <v>4</v>
      </c>
      <c r="L4" s="3">
        <f t="shared" ref="L4:L34" si="4">(K4/B4)*100</f>
        <v>2.197802197802198</v>
      </c>
      <c r="M4" s="2">
        <v>8</v>
      </c>
      <c r="N4" s="3">
        <f t="shared" ref="N4:N34" si="5">(M4/B4)*100</f>
        <v>4.395604395604396</v>
      </c>
      <c r="O4" s="2">
        <v>0</v>
      </c>
      <c r="P4" s="3">
        <f t="shared" ref="P4:P34" si="6">(O4/B4)*100</f>
        <v>0</v>
      </c>
    </row>
    <row r="5" spans="1:16">
      <c r="A5" t="s">
        <v>163</v>
      </c>
      <c r="B5" s="2">
        <v>288</v>
      </c>
      <c r="C5" s="2">
        <v>286</v>
      </c>
      <c r="D5" s="3">
        <f t="shared" si="0"/>
        <v>99.305555555555557</v>
      </c>
      <c r="E5" s="2">
        <v>214</v>
      </c>
      <c r="F5" s="3">
        <f t="shared" si="1"/>
        <v>74.305555555555557</v>
      </c>
      <c r="G5">
        <v>5</v>
      </c>
      <c r="H5" s="3">
        <f t="shared" si="2"/>
        <v>1.7361111111111112</v>
      </c>
      <c r="I5">
        <v>4</v>
      </c>
      <c r="J5" s="3">
        <f t="shared" si="3"/>
        <v>1.3888888888888888</v>
      </c>
      <c r="K5" s="2">
        <v>54</v>
      </c>
      <c r="L5" s="3">
        <f t="shared" si="4"/>
        <v>18.75</v>
      </c>
      <c r="M5" s="2">
        <v>18</v>
      </c>
      <c r="N5" s="3">
        <f t="shared" si="5"/>
        <v>6.25</v>
      </c>
      <c r="O5" s="2">
        <v>1</v>
      </c>
      <c r="P5" s="3">
        <f t="shared" si="6"/>
        <v>0.34722222222222221</v>
      </c>
    </row>
    <row r="6" spans="1:16">
      <c r="A6" t="s">
        <v>171</v>
      </c>
      <c r="B6" s="2">
        <v>86</v>
      </c>
      <c r="C6" s="2">
        <v>86</v>
      </c>
      <c r="D6" s="3">
        <f t="shared" si="0"/>
        <v>100</v>
      </c>
      <c r="E6" s="2">
        <v>69</v>
      </c>
      <c r="F6" s="3">
        <f t="shared" si="1"/>
        <v>80.232558139534888</v>
      </c>
      <c r="G6">
        <v>27</v>
      </c>
      <c r="H6" s="3">
        <f t="shared" si="2"/>
        <v>31.395348837209301</v>
      </c>
      <c r="I6">
        <v>0</v>
      </c>
      <c r="J6" s="3">
        <f t="shared" si="3"/>
        <v>0</v>
      </c>
      <c r="K6" s="2">
        <v>17</v>
      </c>
      <c r="L6" s="3">
        <f t="shared" si="4"/>
        <v>19.767441860465116</v>
      </c>
      <c r="M6" s="2">
        <v>0</v>
      </c>
      <c r="N6" s="3">
        <f t="shared" si="5"/>
        <v>0</v>
      </c>
      <c r="O6" s="2">
        <v>0</v>
      </c>
      <c r="P6" s="3">
        <f t="shared" si="6"/>
        <v>0</v>
      </c>
    </row>
    <row r="7" spans="1:16">
      <c r="A7" t="s">
        <v>135</v>
      </c>
      <c r="B7" s="2">
        <v>32</v>
      </c>
      <c r="C7" s="2">
        <v>32</v>
      </c>
      <c r="D7" s="3">
        <f t="shared" si="0"/>
        <v>100</v>
      </c>
      <c r="E7" s="2">
        <v>25</v>
      </c>
      <c r="F7" s="3">
        <f t="shared" si="1"/>
        <v>78.125</v>
      </c>
      <c r="G7">
        <v>5</v>
      </c>
      <c r="H7" s="3">
        <f t="shared" si="2"/>
        <v>15.625</v>
      </c>
      <c r="I7">
        <v>0</v>
      </c>
      <c r="J7" s="3">
        <f t="shared" si="3"/>
        <v>0</v>
      </c>
      <c r="K7" s="2">
        <v>3</v>
      </c>
      <c r="L7" s="3">
        <f t="shared" si="4"/>
        <v>9.375</v>
      </c>
      <c r="M7" s="2">
        <v>4</v>
      </c>
      <c r="N7" s="3">
        <f t="shared" si="5"/>
        <v>12.5</v>
      </c>
      <c r="O7" s="2">
        <v>0</v>
      </c>
      <c r="P7" s="3">
        <f t="shared" si="6"/>
        <v>0</v>
      </c>
    </row>
    <row r="8" spans="1:16">
      <c r="A8" t="s">
        <v>184</v>
      </c>
      <c r="B8" s="2">
        <v>108</v>
      </c>
      <c r="C8" s="2">
        <v>108</v>
      </c>
      <c r="D8" s="3">
        <f t="shared" si="0"/>
        <v>100</v>
      </c>
      <c r="E8" s="2">
        <v>83</v>
      </c>
      <c r="F8" s="3">
        <f t="shared" si="1"/>
        <v>76.851851851851848</v>
      </c>
      <c r="H8" s="3"/>
      <c r="J8" s="3"/>
      <c r="K8" s="2">
        <v>26</v>
      </c>
      <c r="L8" s="3">
        <f t="shared" si="4"/>
        <v>24.074074074074073</v>
      </c>
      <c r="M8" s="2">
        <v>1</v>
      </c>
      <c r="N8" s="3">
        <f t="shared" si="5"/>
        <v>0.92592592592592582</v>
      </c>
      <c r="O8" s="2">
        <v>0</v>
      </c>
      <c r="P8" s="3">
        <f t="shared" si="6"/>
        <v>0</v>
      </c>
    </row>
    <row r="9" spans="1:16">
      <c r="A9" t="s">
        <v>136</v>
      </c>
      <c r="B9" s="2">
        <v>9</v>
      </c>
      <c r="C9" s="2">
        <v>9</v>
      </c>
      <c r="D9" s="3">
        <f t="shared" si="0"/>
        <v>100</v>
      </c>
      <c r="E9" s="2">
        <v>5</v>
      </c>
      <c r="F9" s="3">
        <f t="shared" si="1"/>
        <v>55.555555555555557</v>
      </c>
      <c r="G9">
        <v>3</v>
      </c>
      <c r="H9" s="3">
        <f t="shared" si="2"/>
        <v>33.333333333333329</v>
      </c>
      <c r="I9">
        <v>0</v>
      </c>
      <c r="J9" s="3">
        <f t="shared" si="3"/>
        <v>0</v>
      </c>
      <c r="K9" s="2">
        <v>4</v>
      </c>
      <c r="L9" s="3">
        <f t="shared" si="4"/>
        <v>44.444444444444443</v>
      </c>
      <c r="M9" s="2">
        <v>0</v>
      </c>
      <c r="N9" s="3">
        <f t="shared" si="5"/>
        <v>0</v>
      </c>
      <c r="O9" s="2">
        <v>0</v>
      </c>
      <c r="P9" s="3">
        <f t="shared" si="6"/>
        <v>0</v>
      </c>
    </row>
    <row r="10" spans="1:16">
      <c r="A10" t="s">
        <v>137</v>
      </c>
      <c r="B10" s="2">
        <v>84</v>
      </c>
      <c r="C10" s="2">
        <v>84</v>
      </c>
      <c r="D10" s="3">
        <f t="shared" si="0"/>
        <v>100</v>
      </c>
      <c r="E10" s="2">
        <v>63</v>
      </c>
      <c r="F10" s="3">
        <f t="shared" si="1"/>
        <v>75</v>
      </c>
      <c r="G10">
        <v>1</v>
      </c>
      <c r="H10" s="3">
        <f t="shared" si="2"/>
        <v>1.1904761904761905</v>
      </c>
      <c r="I10">
        <v>2</v>
      </c>
      <c r="J10" s="3">
        <f t="shared" si="3"/>
        <v>2.3809523809523809</v>
      </c>
      <c r="K10" s="2">
        <v>14</v>
      </c>
      <c r="L10" s="3">
        <f t="shared" si="4"/>
        <v>16.666666666666664</v>
      </c>
      <c r="M10" s="2">
        <v>7</v>
      </c>
      <c r="N10" s="3">
        <f t="shared" si="5"/>
        <v>8.3333333333333321</v>
      </c>
      <c r="O10" s="2">
        <v>0</v>
      </c>
      <c r="P10" s="3">
        <f t="shared" si="6"/>
        <v>0</v>
      </c>
    </row>
    <row r="11" spans="1:16">
      <c r="A11" t="s">
        <v>202</v>
      </c>
      <c r="B11" s="2">
        <v>4</v>
      </c>
      <c r="C11" s="2">
        <v>4</v>
      </c>
      <c r="D11" s="3">
        <f t="shared" si="0"/>
        <v>100</v>
      </c>
      <c r="E11" s="2">
        <v>4</v>
      </c>
      <c r="F11" s="3">
        <f t="shared" si="1"/>
        <v>100</v>
      </c>
      <c r="H11" s="3"/>
      <c r="J11" s="3"/>
      <c r="K11" s="2">
        <v>0</v>
      </c>
      <c r="L11" s="3">
        <f t="shared" si="4"/>
        <v>0</v>
      </c>
      <c r="M11" s="2">
        <v>0</v>
      </c>
      <c r="N11" s="3">
        <f t="shared" si="5"/>
        <v>0</v>
      </c>
      <c r="O11" s="2">
        <v>0</v>
      </c>
      <c r="P11" s="3">
        <f t="shared" si="6"/>
        <v>0</v>
      </c>
    </row>
    <row r="12" spans="1:16">
      <c r="A12" t="s">
        <v>204</v>
      </c>
      <c r="B12" s="2">
        <v>38</v>
      </c>
      <c r="C12" s="2">
        <v>36</v>
      </c>
      <c r="D12" s="3">
        <f t="shared" si="0"/>
        <v>94.73684210526315</v>
      </c>
      <c r="E12" s="2">
        <v>28</v>
      </c>
      <c r="F12" s="3">
        <f t="shared" si="1"/>
        <v>73.68421052631578</v>
      </c>
      <c r="G12">
        <v>3</v>
      </c>
      <c r="H12" s="3">
        <f t="shared" si="2"/>
        <v>7.8947368421052628</v>
      </c>
      <c r="I12">
        <v>1</v>
      </c>
      <c r="J12" s="3">
        <f t="shared" si="3"/>
        <v>2.6315789473684208</v>
      </c>
      <c r="K12" s="2">
        <v>7</v>
      </c>
      <c r="L12" s="3">
        <f t="shared" si="4"/>
        <v>18.421052631578945</v>
      </c>
      <c r="M12" s="2">
        <v>1</v>
      </c>
      <c r="N12" s="3">
        <f t="shared" si="5"/>
        <v>2.6315789473684208</v>
      </c>
      <c r="O12" s="2">
        <v>0</v>
      </c>
      <c r="P12" s="3">
        <f t="shared" si="6"/>
        <v>0</v>
      </c>
    </row>
    <row r="13" spans="1:16">
      <c r="A13" t="s">
        <v>128</v>
      </c>
      <c r="B13" s="2">
        <v>133</v>
      </c>
      <c r="C13" s="2">
        <v>133</v>
      </c>
      <c r="D13" s="3">
        <f t="shared" si="0"/>
        <v>100</v>
      </c>
      <c r="E13" s="2">
        <v>130</v>
      </c>
      <c r="F13" s="3">
        <f t="shared" si="1"/>
        <v>97.744360902255636</v>
      </c>
      <c r="H13" s="3"/>
      <c r="J13" s="3"/>
      <c r="K13" s="2">
        <v>3</v>
      </c>
      <c r="L13" s="3">
        <f t="shared" si="4"/>
        <v>2.2556390977443606</v>
      </c>
      <c r="M13" s="2">
        <v>0</v>
      </c>
      <c r="N13" s="3">
        <f t="shared" si="5"/>
        <v>0</v>
      </c>
      <c r="O13" s="2">
        <v>0</v>
      </c>
      <c r="P13" s="3">
        <f t="shared" si="6"/>
        <v>0</v>
      </c>
    </row>
    <row r="14" spans="1:16">
      <c r="A14" t="s">
        <v>119</v>
      </c>
      <c r="B14" s="2">
        <v>186</v>
      </c>
      <c r="C14" s="2">
        <v>186</v>
      </c>
      <c r="D14" s="3">
        <f t="shared" si="0"/>
        <v>100</v>
      </c>
      <c r="E14" s="2">
        <v>151</v>
      </c>
      <c r="F14" s="3">
        <f t="shared" si="1"/>
        <v>81.182795698924721</v>
      </c>
      <c r="G14">
        <v>65</v>
      </c>
      <c r="H14" s="3">
        <f t="shared" si="2"/>
        <v>34.946236559139784</v>
      </c>
      <c r="I14">
        <v>0</v>
      </c>
      <c r="J14" s="3">
        <f t="shared" si="3"/>
        <v>0</v>
      </c>
      <c r="K14" s="2">
        <v>28</v>
      </c>
      <c r="L14" s="3">
        <f t="shared" si="4"/>
        <v>15.053763440860216</v>
      </c>
      <c r="M14" s="2">
        <v>7</v>
      </c>
      <c r="N14" s="3">
        <f t="shared" si="5"/>
        <v>3.763440860215054</v>
      </c>
      <c r="O14" s="2">
        <v>0</v>
      </c>
      <c r="P14" s="3">
        <f t="shared" si="6"/>
        <v>0</v>
      </c>
    </row>
    <row r="15" spans="1:16">
      <c r="A15" t="s">
        <v>129</v>
      </c>
      <c r="B15" s="2">
        <v>28</v>
      </c>
      <c r="C15" s="2">
        <v>27</v>
      </c>
      <c r="D15" s="3">
        <f t="shared" si="0"/>
        <v>96.428571428571431</v>
      </c>
      <c r="E15" s="2">
        <v>19</v>
      </c>
      <c r="F15" s="3">
        <f t="shared" si="1"/>
        <v>67.857142857142861</v>
      </c>
      <c r="G15">
        <v>5</v>
      </c>
      <c r="H15" s="3">
        <f t="shared" si="2"/>
        <v>17.857142857142858</v>
      </c>
      <c r="I15">
        <v>1</v>
      </c>
      <c r="J15" s="3">
        <f t="shared" si="3"/>
        <v>3.5714285714285712</v>
      </c>
      <c r="K15" s="2">
        <v>8</v>
      </c>
      <c r="L15" s="3">
        <f t="shared" si="4"/>
        <v>28.571428571428569</v>
      </c>
      <c r="M15" s="2">
        <v>0</v>
      </c>
      <c r="N15" s="3">
        <f t="shared" si="5"/>
        <v>0</v>
      </c>
      <c r="O15" s="2">
        <v>0</v>
      </c>
      <c r="P15" s="3">
        <f t="shared" si="6"/>
        <v>0</v>
      </c>
    </row>
    <row r="16" spans="1:16">
      <c r="A16" t="s">
        <v>120</v>
      </c>
      <c r="B16" s="2">
        <v>231</v>
      </c>
      <c r="C16" s="2">
        <v>224</v>
      </c>
      <c r="D16" s="3">
        <f t="shared" si="0"/>
        <v>96.969696969696969</v>
      </c>
      <c r="E16" s="2">
        <v>140</v>
      </c>
      <c r="F16" s="3">
        <f t="shared" si="1"/>
        <v>60.606060606060609</v>
      </c>
      <c r="H16" s="3"/>
      <c r="J16" s="3"/>
      <c r="K16" s="2">
        <v>86</v>
      </c>
      <c r="L16" s="3">
        <f t="shared" si="4"/>
        <v>37.229437229437231</v>
      </c>
      <c r="M16" s="2">
        <v>2</v>
      </c>
      <c r="N16" s="3">
        <f t="shared" si="5"/>
        <v>0.86580086580086579</v>
      </c>
      <c r="O16" s="2">
        <v>1</v>
      </c>
      <c r="P16" s="3">
        <f t="shared" si="6"/>
        <v>0.4329004329004329</v>
      </c>
    </row>
    <row r="17" spans="1:16">
      <c r="A17" t="s">
        <v>228</v>
      </c>
      <c r="B17" s="2">
        <v>57</v>
      </c>
      <c r="C17" s="2">
        <v>57</v>
      </c>
      <c r="D17" s="3">
        <f t="shared" si="0"/>
        <v>100</v>
      </c>
      <c r="E17" s="2">
        <v>14</v>
      </c>
      <c r="F17" s="3">
        <f t="shared" si="1"/>
        <v>24.561403508771928</v>
      </c>
      <c r="G17">
        <v>1</v>
      </c>
      <c r="H17" s="3">
        <f t="shared" si="2"/>
        <v>1.7543859649122806</v>
      </c>
      <c r="I17">
        <v>1</v>
      </c>
      <c r="J17" s="3">
        <f t="shared" si="3"/>
        <v>1.7543859649122806</v>
      </c>
      <c r="K17" s="2">
        <v>42</v>
      </c>
      <c r="L17" s="3">
        <f t="shared" si="4"/>
        <v>73.68421052631578</v>
      </c>
      <c r="M17" s="2">
        <v>1</v>
      </c>
      <c r="N17" s="3">
        <f t="shared" si="5"/>
        <v>1.7543859649122806</v>
      </c>
      <c r="O17" s="2">
        <v>0</v>
      </c>
      <c r="P17" s="3">
        <f t="shared" si="6"/>
        <v>0</v>
      </c>
    </row>
    <row r="18" spans="1:16">
      <c r="A18" t="s">
        <v>233</v>
      </c>
      <c r="B18" s="2">
        <v>94</v>
      </c>
      <c r="C18" s="2">
        <v>91</v>
      </c>
      <c r="D18" s="3">
        <f t="shared" si="0"/>
        <v>96.808510638297875</v>
      </c>
      <c r="E18" s="2">
        <v>59</v>
      </c>
      <c r="F18" s="3">
        <f t="shared" si="1"/>
        <v>62.765957446808507</v>
      </c>
      <c r="G18">
        <v>11</v>
      </c>
      <c r="H18" s="3">
        <f t="shared" si="2"/>
        <v>11.702127659574469</v>
      </c>
      <c r="I18">
        <v>0</v>
      </c>
      <c r="J18" s="3">
        <f t="shared" si="3"/>
        <v>0</v>
      </c>
      <c r="K18" s="2">
        <v>31</v>
      </c>
      <c r="L18" s="3">
        <f t="shared" si="4"/>
        <v>32.978723404255319</v>
      </c>
      <c r="M18" s="2">
        <v>1</v>
      </c>
      <c r="N18" s="3">
        <f t="shared" si="5"/>
        <v>1.0638297872340425</v>
      </c>
      <c r="O18" s="2">
        <v>0</v>
      </c>
      <c r="P18" s="3">
        <f t="shared" si="6"/>
        <v>0</v>
      </c>
    </row>
    <row r="19" spans="1:16">
      <c r="A19" t="s">
        <v>116</v>
      </c>
      <c r="B19" s="2">
        <v>8</v>
      </c>
      <c r="C19" s="2">
        <v>8</v>
      </c>
      <c r="D19" s="3">
        <f t="shared" si="0"/>
        <v>100</v>
      </c>
      <c r="E19" s="2">
        <v>8</v>
      </c>
      <c r="F19" s="3">
        <f t="shared" si="1"/>
        <v>100</v>
      </c>
      <c r="G19">
        <v>0</v>
      </c>
      <c r="H19" s="3">
        <f t="shared" si="2"/>
        <v>0</v>
      </c>
      <c r="I19">
        <v>0</v>
      </c>
      <c r="J19" s="3">
        <f t="shared" si="3"/>
        <v>0</v>
      </c>
      <c r="K19" s="2">
        <v>0</v>
      </c>
      <c r="L19" s="3">
        <f t="shared" si="4"/>
        <v>0</v>
      </c>
      <c r="M19" s="2">
        <v>0</v>
      </c>
      <c r="N19" s="3">
        <f t="shared" si="5"/>
        <v>0</v>
      </c>
      <c r="O19" s="2">
        <v>0</v>
      </c>
      <c r="P19" s="3">
        <f t="shared" si="6"/>
        <v>0</v>
      </c>
    </row>
    <row r="20" spans="1:16">
      <c r="A20" t="s">
        <v>121</v>
      </c>
      <c r="B20" s="2">
        <v>57</v>
      </c>
      <c r="C20" s="2">
        <v>57</v>
      </c>
      <c r="D20" s="3">
        <f t="shared" si="0"/>
        <v>100</v>
      </c>
      <c r="E20" s="2">
        <v>51</v>
      </c>
      <c r="F20" s="3">
        <f t="shared" si="1"/>
        <v>89.473684210526315</v>
      </c>
      <c r="G20">
        <v>5</v>
      </c>
      <c r="H20" s="3">
        <f t="shared" si="2"/>
        <v>8.7719298245614024</v>
      </c>
      <c r="I20">
        <v>1</v>
      </c>
      <c r="J20" s="3">
        <f t="shared" si="3"/>
        <v>1.7543859649122806</v>
      </c>
      <c r="K20" s="2">
        <v>5</v>
      </c>
      <c r="L20" s="3">
        <f t="shared" si="4"/>
        <v>8.7719298245614024</v>
      </c>
      <c r="M20" s="2">
        <v>1</v>
      </c>
      <c r="N20" s="3">
        <f t="shared" si="5"/>
        <v>1.7543859649122806</v>
      </c>
      <c r="O20" s="2">
        <v>0</v>
      </c>
      <c r="P20" s="3">
        <f t="shared" si="6"/>
        <v>0</v>
      </c>
    </row>
    <row r="21" spans="1:16">
      <c r="A21" t="s">
        <v>122</v>
      </c>
      <c r="B21" s="2">
        <v>47</v>
      </c>
      <c r="C21" s="2">
        <v>47</v>
      </c>
      <c r="D21" s="3">
        <f t="shared" si="0"/>
        <v>100</v>
      </c>
      <c r="E21" s="2">
        <v>39</v>
      </c>
      <c r="F21" s="3">
        <f t="shared" si="1"/>
        <v>82.978723404255319</v>
      </c>
      <c r="H21" s="3"/>
      <c r="J21" s="3"/>
      <c r="K21" s="2">
        <v>8</v>
      </c>
      <c r="L21" s="3">
        <f t="shared" si="4"/>
        <v>17.021276595744681</v>
      </c>
      <c r="M21" s="2">
        <v>0</v>
      </c>
      <c r="N21" s="3">
        <f t="shared" si="5"/>
        <v>0</v>
      </c>
      <c r="O21" s="2">
        <v>0</v>
      </c>
      <c r="P21" s="3">
        <f t="shared" si="6"/>
        <v>0</v>
      </c>
    </row>
    <row r="22" spans="1:16">
      <c r="A22" t="s">
        <v>123</v>
      </c>
      <c r="B22" s="2">
        <v>121</v>
      </c>
      <c r="C22" s="2">
        <v>120</v>
      </c>
      <c r="D22" s="3">
        <f t="shared" si="0"/>
        <v>99.173553719008268</v>
      </c>
      <c r="E22" s="2">
        <v>79</v>
      </c>
      <c r="F22" s="3">
        <f t="shared" si="1"/>
        <v>65.289256198347118</v>
      </c>
      <c r="G22">
        <v>16</v>
      </c>
      <c r="H22" s="3">
        <f t="shared" si="2"/>
        <v>13.223140495867769</v>
      </c>
      <c r="I22">
        <v>0</v>
      </c>
      <c r="J22" s="3">
        <f t="shared" si="3"/>
        <v>0</v>
      </c>
      <c r="K22" s="2">
        <v>35</v>
      </c>
      <c r="L22" s="3">
        <f t="shared" si="4"/>
        <v>28.925619834710741</v>
      </c>
      <c r="M22" s="2">
        <v>6</v>
      </c>
      <c r="N22" s="3">
        <f t="shared" si="5"/>
        <v>4.9586776859504136</v>
      </c>
      <c r="O22" s="2">
        <v>0</v>
      </c>
      <c r="P22" s="3">
        <f t="shared" si="6"/>
        <v>0</v>
      </c>
    </row>
    <row r="23" spans="1:16">
      <c r="A23" t="s">
        <v>139</v>
      </c>
      <c r="B23" s="2">
        <v>181</v>
      </c>
      <c r="C23" s="2">
        <v>181</v>
      </c>
      <c r="D23" s="3">
        <f t="shared" si="0"/>
        <v>100</v>
      </c>
      <c r="E23" s="2">
        <v>169</v>
      </c>
      <c r="F23" s="3">
        <f t="shared" si="1"/>
        <v>93.370165745856355</v>
      </c>
      <c r="G23">
        <v>21</v>
      </c>
      <c r="H23" s="3">
        <f t="shared" si="2"/>
        <v>11.602209944751381</v>
      </c>
      <c r="I23">
        <v>0</v>
      </c>
      <c r="J23" s="3">
        <f t="shared" si="3"/>
        <v>0</v>
      </c>
      <c r="K23" s="2">
        <v>0</v>
      </c>
      <c r="L23" s="3">
        <f t="shared" si="4"/>
        <v>0</v>
      </c>
      <c r="M23" s="2">
        <v>12</v>
      </c>
      <c r="N23" s="3">
        <f t="shared" si="5"/>
        <v>6.6298342541436464</v>
      </c>
      <c r="O23" s="2">
        <v>0</v>
      </c>
      <c r="P23" s="3">
        <f t="shared" si="6"/>
        <v>0</v>
      </c>
    </row>
    <row r="24" spans="1:16">
      <c r="A24" t="s">
        <v>140</v>
      </c>
      <c r="B24" s="2">
        <v>331</v>
      </c>
      <c r="C24" s="2">
        <v>330</v>
      </c>
      <c r="D24" s="3">
        <f t="shared" si="0"/>
        <v>99.697885196374628</v>
      </c>
      <c r="E24" s="2">
        <v>218</v>
      </c>
      <c r="F24" s="3">
        <f t="shared" si="1"/>
        <v>65.861027190332322</v>
      </c>
      <c r="G24">
        <v>59</v>
      </c>
      <c r="H24" s="3">
        <f t="shared" si="2"/>
        <v>17.82477341389728</v>
      </c>
      <c r="I24">
        <v>1</v>
      </c>
      <c r="J24" s="3">
        <f t="shared" si="3"/>
        <v>0.30211480362537763</v>
      </c>
      <c r="K24" s="2">
        <v>98</v>
      </c>
      <c r="L24" s="3">
        <f t="shared" si="4"/>
        <v>29.607250755287005</v>
      </c>
      <c r="M24" s="2">
        <v>14</v>
      </c>
      <c r="N24" s="3">
        <f t="shared" si="5"/>
        <v>4.2296072507552873</v>
      </c>
      <c r="O24" s="2">
        <v>0</v>
      </c>
      <c r="P24" s="3">
        <f t="shared" si="6"/>
        <v>0</v>
      </c>
    </row>
    <row r="25" spans="1:16">
      <c r="A25" t="s">
        <v>271</v>
      </c>
      <c r="B25" s="2">
        <v>134</v>
      </c>
      <c r="C25" s="2">
        <v>128</v>
      </c>
      <c r="D25" s="3">
        <f t="shared" si="0"/>
        <v>95.522388059701484</v>
      </c>
      <c r="E25" s="2">
        <v>105</v>
      </c>
      <c r="F25" s="3">
        <f t="shared" si="1"/>
        <v>78.358208955223887</v>
      </c>
      <c r="G25">
        <v>66</v>
      </c>
      <c r="H25" s="3">
        <f t="shared" si="2"/>
        <v>49.253731343283583</v>
      </c>
      <c r="I25">
        <v>1</v>
      </c>
      <c r="J25" s="3">
        <f t="shared" si="3"/>
        <v>0.74626865671641784</v>
      </c>
      <c r="K25" s="2">
        <v>23</v>
      </c>
      <c r="L25" s="3">
        <f t="shared" si="4"/>
        <v>17.164179104477611</v>
      </c>
      <c r="M25" s="2">
        <v>0</v>
      </c>
      <c r="N25" s="3">
        <f t="shared" si="5"/>
        <v>0</v>
      </c>
      <c r="O25" s="2">
        <v>0</v>
      </c>
      <c r="P25" s="3">
        <f t="shared" si="6"/>
        <v>0</v>
      </c>
    </row>
    <row r="26" spans="1:16">
      <c r="A26" t="s">
        <v>277</v>
      </c>
      <c r="B26" s="2">
        <v>74</v>
      </c>
      <c r="C26" s="2">
        <v>73</v>
      </c>
      <c r="D26" s="3">
        <f t="shared" si="0"/>
        <v>98.648648648648646</v>
      </c>
      <c r="E26" s="2">
        <v>60</v>
      </c>
      <c r="F26" s="3">
        <f t="shared" si="1"/>
        <v>81.081081081081081</v>
      </c>
      <c r="G26">
        <v>23</v>
      </c>
      <c r="H26" s="3">
        <f t="shared" si="2"/>
        <v>31.081081081081081</v>
      </c>
      <c r="I26">
        <v>1</v>
      </c>
      <c r="J26" s="3">
        <f t="shared" si="3"/>
        <v>1.3513513513513513</v>
      </c>
      <c r="K26" s="2">
        <v>13</v>
      </c>
      <c r="L26" s="3">
        <f t="shared" si="4"/>
        <v>17.567567567567568</v>
      </c>
      <c r="M26" s="2">
        <v>0</v>
      </c>
      <c r="N26" s="3">
        <f t="shared" si="5"/>
        <v>0</v>
      </c>
      <c r="O26" s="2">
        <v>0</v>
      </c>
      <c r="P26" s="3">
        <f t="shared" si="6"/>
        <v>0</v>
      </c>
    </row>
    <row r="27" spans="1:16">
      <c r="A27" t="s">
        <v>130</v>
      </c>
      <c r="B27" s="2">
        <v>240</v>
      </c>
      <c r="C27" s="2">
        <v>240</v>
      </c>
      <c r="D27" s="3">
        <f t="shared" si="0"/>
        <v>100</v>
      </c>
      <c r="E27" s="2">
        <v>190</v>
      </c>
      <c r="F27" s="3">
        <f t="shared" si="1"/>
        <v>79.166666666666657</v>
      </c>
      <c r="G27">
        <v>32</v>
      </c>
      <c r="H27" s="3">
        <f t="shared" si="2"/>
        <v>13.333333333333334</v>
      </c>
      <c r="I27">
        <v>1</v>
      </c>
      <c r="J27" s="3">
        <f t="shared" si="3"/>
        <v>0.41666666666666669</v>
      </c>
      <c r="K27" s="2">
        <v>39</v>
      </c>
      <c r="L27" s="3">
        <f t="shared" si="4"/>
        <v>16.25</v>
      </c>
      <c r="M27" s="2">
        <v>11</v>
      </c>
      <c r="N27" s="3">
        <f t="shared" si="5"/>
        <v>4.583333333333333</v>
      </c>
      <c r="O27" s="2">
        <v>0</v>
      </c>
      <c r="P27" s="3">
        <f t="shared" si="6"/>
        <v>0</v>
      </c>
    </row>
    <row r="28" spans="1:16">
      <c r="A28" t="s">
        <v>288</v>
      </c>
      <c r="B28" s="2">
        <v>9</v>
      </c>
      <c r="C28" s="2">
        <v>9</v>
      </c>
      <c r="D28" s="3">
        <f t="shared" si="0"/>
        <v>100</v>
      </c>
      <c r="E28" s="2">
        <v>5</v>
      </c>
      <c r="F28" s="3">
        <f t="shared" si="1"/>
        <v>55.555555555555557</v>
      </c>
      <c r="H28" s="3"/>
      <c r="J28" s="3"/>
      <c r="K28" s="2">
        <v>4</v>
      </c>
      <c r="L28" s="3">
        <f t="shared" si="4"/>
        <v>44.444444444444443</v>
      </c>
      <c r="M28" s="2">
        <v>0</v>
      </c>
      <c r="N28" s="3">
        <f t="shared" si="5"/>
        <v>0</v>
      </c>
      <c r="O28" s="2">
        <v>0</v>
      </c>
      <c r="P28" s="3">
        <f t="shared" si="6"/>
        <v>0</v>
      </c>
    </row>
    <row r="29" spans="1:16" s="29" customFormat="1" ht="28.9" thickBot="1">
      <c r="A29" s="26" t="s">
        <v>427</v>
      </c>
      <c r="B29" s="27">
        <v>5</v>
      </c>
      <c r="C29" s="27">
        <v>5</v>
      </c>
      <c r="D29" s="28">
        <f t="shared" si="0"/>
        <v>100</v>
      </c>
      <c r="E29" s="27">
        <v>3</v>
      </c>
      <c r="F29" s="28">
        <f t="shared" si="1"/>
        <v>60</v>
      </c>
      <c r="G29" s="26">
        <v>1</v>
      </c>
      <c r="H29" s="28">
        <f t="shared" si="2"/>
        <v>20</v>
      </c>
      <c r="I29" s="26">
        <v>0</v>
      </c>
      <c r="J29" s="28">
        <f t="shared" si="3"/>
        <v>0</v>
      </c>
      <c r="K29" s="27">
        <v>2</v>
      </c>
      <c r="L29" s="28">
        <f t="shared" si="4"/>
        <v>40</v>
      </c>
      <c r="M29" s="27">
        <v>0</v>
      </c>
      <c r="N29" s="28">
        <f t="shared" si="5"/>
        <v>0</v>
      </c>
      <c r="O29" s="27">
        <v>0</v>
      </c>
      <c r="P29" s="28">
        <f t="shared" si="6"/>
        <v>0</v>
      </c>
    </row>
    <row r="30" spans="1:16" ht="14.65" thickBot="1">
      <c r="A30" s="4" t="s">
        <v>429</v>
      </c>
      <c r="B30" s="8">
        <f>SUM(B3:B29)</f>
        <v>2804</v>
      </c>
      <c r="C30" s="8">
        <f>SUM(C3:C29)</f>
        <v>2768</v>
      </c>
      <c r="D30" s="9">
        <f t="shared" si="0"/>
        <v>98.716119828815977</v>
      </c>
      <c r="E30" s="8">
        <f>SUM(E3:E29)</f>
        <v>2123</v>
      </c>
      <c r="F30" s="9">
        <f t="shared" si="1"/>
        <v>75.713266761768907</v>
      </c>
      <c r="G30" s="4">
        <f>SUM(G3:G29)</f>
        <v>371</v>
      </c>
      <c r="H30" s="9">
        <f t="shared" si="2"/>
        <v>13.231098430813123</v>
      </c>
      <c r="I30" s="4">
        <f>SUM(I3:I29)</f>
        <v>36</v>
      </c>
      <c r="J30" s="7">
        <f t="shared" si="3"/>
        <v>1.2838801711840229</v>
      </c>
      <c r="K30" s="8">
        <f>SUM(K3:K29)</f>
        <v>556</v>
      </c>
      <c r="L30" s="9">
        <f t="shared" si="4"/>
        <v>19.828815977175463</v>
      </c>
      <c r="M30" s="8">
        <f>SUM(M3:M29)</f>
        <v>95</v>
      </c>
      <c r="N30" s="9">
        <f t="shared" si="5"/>
        <v>3.3880171184022827</v>
      </c>
      <c r="O30" s="8">
        <f>SUM(O3:O29)</f>
        <v>4</v>
      </c>
      <c r="P30" s="9">
        <f t="shared" si="6"/>
        <v>0.14265335235378032</v>
      </c>
    </row>
    <row r="31" spans="1:16">
      <c r="A31" t="s">
        <v>437</v>
      </c>
      <c r="B31" s="2">
        <v>2</v>
      </c>
      <c r="C31" s="2">
        <v>2</v>
      </c>
      <c r="D31" s="3">
        <f t="shared" ref="D31" si="7">(C31/B31)*100</f>
        <v>100</v>
      </c>
      <c r="E31" s="2">
        <v>1</v>
      </c>
      <c r="F31" s="3">
        <f t="shared" ref="F31" si="8">(E31/B31)*100</f>
        <v>50</v>
      </c>
      <c r="K31" s="2">
        <v>1</v>
      </c>
      <c r="L31" s="3">
        <f t="shared" ref="L31" si="9">(K31/B31)*100</f>
        <v>50</v>
      </c>
      <c r="M31" s="2">
        <v>0</v>
      </c>
      <c r="N31" s="3">
        <f t="shared" ref="N31" si="10">(M31/B31)*100</f>
        <v>0</v>
      </c>
      <c r="O31" s="2">
        <v>0</v>
      </c>
      <c r="P31" s="3">
        <f t="shared" ref="P31" si="11">(O31/B31)*100</f>
        <v>0</v>
      </c>
    </row>
    <row r="32" spans="1:16" ht="14.65" thickBot="1">
      <c r="A32" s="5" t="s">
        <v>142</v>
      </c>
      <c r="B32" s="6">
        <v>22</v>
      </c>
      <c r="C32" s="6">
        <v>21</v>
      </c>
      <c r="D32" s="7">
        <f t="shared" si="0"/>
        <v>95.454545454545453</v>
      </c>
      <c r="E32" s="6">
        <v>8</v>
      </c>
      <c r="F32" s="7">
        <f t="shared" si="1"/>
        <v>36.363636363636367</v>
      </c>
      <c r="G32" s="5">
        <v>0</v>
      </c>
      <c r="H32" s="5">
        <f t="shared" si="2"/>
        <v>0</v>
      </c>
      <c r="I32" s="5">
        <v>3</v>
      </c>
      <c r="J32" s="7">
        <f t="shared" si="3"/>
        <v>13.636363636363635</v>
      </c>
      <c r="K32" s="6">
        <v>13</v>
      </c>
      <c r="L32" s="7">
        <f t="shared" si="4"/>
        <v>59.090909090909093</v>
      </c>
      <c r="M32" s="6">
        <v>0</v>
      </c>
      <c r="N32" s="7">
        <f t="shared" si="5"/>
        <v>0</v>
      </c>
      <c r="O32" s="6">
        <v>0</v>
      </c>
      <c r="P32" s="7">
        <f t="shared" si="6"/>
        <v>0</v>
      </c>
    </row>
    <row r="33" spans="1:16" ht="14.65" thickBot="1">
      <c r="A33" s="4" t="s">
        <v>454</v>
      </c>
      <c r="B33" s="8">
        <v>24</v>
      </c>
      <c r="C33" s="8">
        <v>23</v>
      </c>
      <c r="D33" s="9">
        <f t="shared" si="0"/>
        <v>95.833333333333343</v>
      </c>
      <c r="E33" s="8">
        <v>9</v>
      </c>
      <c r="F33" s="9">
        <f t="shared" si="1"/>
        <v>37.5</v>
      </c>
      <c r="G33" s="8">
        <v>0</v>
      </c>
      <c r="H33" s="4">
        <f t="shared" ref="H33:H34" si="12">(G33/B33)*100</f>
        <v>0</v>
      </c>
      <c r="I33" s="4">
        <v>3</v>
      </c>
      <c r="J33" s="9">
        <f t="shared" ref="J33:J34" si="13">(I33/B33)*100</f>
        <v>12.5</v>
      </c>
      <c r="K33" s="8">
        <v>14</v>
      </c>
      <c r="L33" s="9">
        <f t="shared" si="4"/>
        <v>58.333333333333336</v>
      </c>
      <c r="M33" s="8">
        <v>0</v>
      </c>
      <c r="N33" s="9">
        <f t="shared" si="5"/>
        <v>0</v>
      </c>
      <c r="O33" s="8">
        <v>0</v>
      </c>
      <c r="P33" s="9">
        <f t="shared" si="6"/>
        <v>0</v>
      </c>
    </row>
    <row r="34" spans="1:16" ht="14.65" thickBot="1">
      <c r="A34" s="4" t="s">
        <v>311</v>
      </c>
      <c r="B34" s="8">
        <v>2828</v>
      </c>
      <c r="C34" s="8">
        <v>2791</v>
      </c>
      <c r="D34" s="9">
        <f t="shared" si="0"/>
        <v>98.691654879773694</v>
      </c>
      <c r="E34" s="8">
        <v>2132</v>
      </c>
      <c r="F34" s="9">
        <f t="shared" si="1"/>
        <v>75.388967468175395</v>
      </c>
      <c r="G34" s="4">
        <v>371</v>
      </c>
      <c r="H34" s="9">
        <f t="shared" si="12"/>
        <v>13.118811881188119</v>
      </c>
      <c r="I34" s="4">
        <v>39</v>
      </c>
      <c r="J34" s="7">
        <f t="shared" si="13"/>
        <v>1.3790664780763791</v>
      </c>
      <c r="K34" s="8">
        <v>570</v>
      </c>
      <c r="L34" s="9">
        <f t="shared" si="4"/>
        <v>20.155586987270155</v>
      </c>
      <c r="M34" s="8">
        <v>95</v>
      </c>
      <c r="N34" s="9">
        <f t="shared" si="5"/>
        <v>3.3592644978783595</v>
      </c>
      <c r="O34" s="8">
        <v>4</v>
      </c>
      <c r="P34" s="9">
        <f t="shared" si="6"/>
        <v>0.14144271570014144</v>
      </c>
    </row>
    <row r="36" spans="1:16">
      <c r="A36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6"/>
  <dimension ref="A1:P31"/>
  <sheetViews>
    <sheetView workbookViewId="0">
      <selection activeCell="E1" sqref="E1:P1"/>
    </sheetView>
  </sheetViews>
  <sheetFormatPr defaultColWidth="10.7109375" defaultRowHeight="14.25"/>
  <cols>
    <col min="1" max="1" width="23.28515625" customWidth="1"/>
    <col min="8" max="8" width="12.5703125" customWidth="1"/>
    <col min="10" max="10" width="11.8554687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149</v>
      </c>
      <c r="B3" s="2">
        <v>181</v>
      </c>
      <c r="C3" s="3">
        <v>40.883977900552487</v>
      </c>
      <c r="D3" t="s">
        <v>455</v>
      </c>
      <c r="E3" s="3">
        <v>31.491712707182323</v>
      </c>
      <c r="F3" t="s">
        <v>456</v>
      </c>
      <c r="G3" s="3">
        <v>3.3149171270718236</v>
      </c>
      <c r="H3" t="s">
        <v>457</v>
      </c>
      <c r="I3" s="3">
        <v>0</v>
      </c>
      <c r="J3" t="s">
        <v>458</v>
      </c>
      <c r="K3" s="3">
        <v>7.182320441988951</v>
      </c>
      <c r="L3" s="32" t="s">
        <v>459</v>
      </c>
      <c r="M3" s="3">
        <v>2.2099447513812156</v>
      </c>
      <c r="N3" t="s">
        <v>460</v>
      </c>
      <c r="O3" s="3">
        <v>0</v>
      </c>
      <c r="P3" t="s">
        <v>252</v>
      </c>
    </row>
    <row r="4" spans="1:16">
      <c r="A4" t="s">
        <v>134</v>
      </c>
      <c r="B4" s="2">
        <v>156</v>
      </c>
      <c r="C4" s="3">
        <v>21.741452991452988</v>
      </c>
      <c r="D4" t="s">
        <v>461</v>
      </c>
      <c r="E4" s="3">
        <v>18.447293447293447</v>
      </c>
      <c r="F4" t="s">
        <v>462</v>
      </c>
      <c r="G4" s="3">
        <v>4.6118233618233617</v>
      </c>
      <c r="H4" t="s">
        <v>463</v>
      </c>
      <c r="I4" s="3">
        <v>0</v>
      </c>
      <c r="J4" t="s">
        <v>464</v>
      </c>
      <c r="K4" s="3">
        <v>2.6353276353276351</v>
      </c>
      <c r="L4" t="s">
        <v>465</v>
      </c>
      <c r="M4" s="3">
        <v>0.65883190883190879</v>
      </c>
      <c r="N4" t="s">
        <v>466</v>
      </c>
      <c r="O4" s="3">
        <v>0</v>
      </c>
      <c r="P4" t="s">
        <v>467</v>
      </c>
    </row>
    <row r="5" spans="1:16">
      <c r="A5" t="s">
        <v>171</v>
      </c>
      <c r="B5" s="2">
        <v>110</v>
      </c>
      <c r="C5" s="3">
        <v>10</v>
      </c>
      <c r="D5" t="s">
        <v>468</v>
      </c>
      <c r="E5" s="3">
        <v>9.0909090909090917</v>
      </c>
      <c r="F5" t="s">
        <v>469</v>
      </c>
      <c r="G5" s="3">
        <v>1.8181818181818183</v>
      </c>
      <c r="H5" t="s">
        <v>470</v>
      </c>
      <c r="I5" s="3">
        <v>0</v>
      </c>
      <c r="J5" t="s">
        <v>471</v>
      </c>
      <c r="K5" s="3">
        <v>0.90909090909090917</v>
      </c>
      <c r="L5" t="s">
        <v>472</v>
      </c>
      <c r="M5" s="3">
        <v>0</v>
      </c>
      <c r="N5" t="s">
        <v>473</v>
      </c>
      <c r="O5" s="3">
        <v>0</v>
      </c>
      <c r="P5" t="s">
        <v>473</v>
      </c>
    </row>
    <row r="6" spans="1:16">
      <c r="A6" t="s">
        <v>184</v>
      </c>
      <c r="B6" s="2">
        <v>152</v>
      </c>
      <c r="C6" s="3">
        <v>17.105263157894736</v>
      </c>
      <c r="D6" s="31">
        <v>45423</v>
      </c>
      <c r="E6" s="3">
        <v>14.473684210526317</v>
      </c>
      <c r="F6" t="s">
        <v>474</v>
      </c>
      <c r="G6" s="3"/>
      <c r="I6" s="3"/>
      <c r="K6" s="3">
        <v>2.6315789473684212</v>
      </c>
      <c r="L6" t="s">
        <v>183</v>
      </c>
      <c r="M6" s="3">
        <v>0</v>
      </c>
      <c r="N6" t="s">
        <v>170</v>
      </c>
      <c r="O6" s="3">
        <v>0</v>
      </c>
      <c r="P6" t="s">
        <v>170</v>
      </c>
    </row>
    <row r="7" spans="1:16">
      <c r="A7" t="s">
        <v>136</v>
      </c>
      <c r="B7" s="2">
        <v>113</v>
      </c>
      <c r="C7" s="3">
        <v>52.212389380530979</v>
      </c>
      <c r="D7" t="s">
        <v>475</v>
      </c>
      <c r="E7" s="3">
        <v>46.902654867256643</v>
      </c>
      <c r="F7" t="s">
        <v>476</v>
      </c>
      <c r="G7" s="3">
        <v>4.4247787610619467</v>
      </c>
      <c r="H7" t="s">
        <v>477</v>
      </c>
      <c r="I7" s="3">
        <v>0</v>
      </c>
      <c r="J7" t="s">
        <v>478</v>
      </c>
      <c r="K7" s="3">
        <v>2.6548672566371683</v>
      </c>
      <c r="L7" t="s">
        <v>479</v>
      </c>
      <c r="M7" s="3">
        <v>2.6548672566371683</v>
      </c>
      <c r="N7" t="s">
        <v>479</v>
      </c>
      <c r="O7" s="3">
        <v>0</v>
      </c>
      <c r="P7" t="s">
        <v>480</v>
      </c>
    </row>
    <row r="8" spans="1:16">
      <c r="A8" t="s">
        <v>202</v>
      </c>
      <c r="B8" s="2">
        <v>151</v>
      </c>
      <c r="C8" s="3">
        <v>0</v>
      </c>
      <c r="D8" t="s">
        <v>170</v>
      </c>
      <c r="E8" s="3">
        <v>0</v>
      </c>
      <c r="F8" t="s">
        <v>170</v>
      </c>
      <c r="G8" s="3">
        <v>0</v>
      </c>
      <c r="H8" t="s">
        <v>181</v>
      </c>
      <c r="I8" s="3">
        <v>0</v>
      </c>
      <c r="J8" t="s">
        <v>181</v>
      </c>
      <c r="K8" s="3">
        <v>0</v>
      </c>
      <c r="L8" t="s">
        <v>170</v>
      </c>
      <c r="M8" s="3">
        <v>0</v>
      </c>
      <c r="N8" t="s">
        <v>170</v>
      </c>
      <c r="O8" s="3">
        <v>0</v>
      </c>
      <c r="P8" t="s">
        <v>170</v>
      </c>
    </row>
    <row r="9" spans="1:16">
      <c r="A9" t="s">
        <v>204</v>
      </c>
      <c r="B9" s="2">
        <v>321</v>
      </c>
      <c r="C9" s="3">
        <v>7.1651090342679122</v>
      </c>
      <c r="D9" t="s">
        <v>481</v>
      </c>
      <c r="E9" s="3">
        <v>4.6728971962616823</v>
      </c>
      <c r="F9" t="s">
        <v>482</v>
      </c>
      <c r="G9" s="3">
        <v>0.62305295950155748</v>
      </c>
      <c r="H9" t="s">
        <v>218</v>
      </c>
      <c r="I9" s="3">
        <v>0</v>
      </c>
      <c r="J9" t="s">
        <v>483</v>
      </c>
      <c r="K9" s="3">
        <v>2.4922118380062299</v>
      </c>
      <c r="L9" t="s">
        <v>484</v>
      </c>
      <c r="M9" s="3">
        <v>0</v>
      </c>
      <c r="N9" t="s">
        <v>156</v>
      </c>
      <c r="O9" s="3">
        <v>0</v>
      </c>
      <c r="P9" t="s">
        <v>156</v>
      </c>
    </row>
    <row r="10" spans="1:16">
      <c r="A10" t="s">
        <v>128</v>
      </c>
      <c r="B10" s="2">
        <v>439</v>
      </c>
      <c r="C10" s="3">
        <v>35.079726651480634</v>
      </c>
      <c r="D10" t="s">
        <v>485</v>
      </c>
      <c r="E10" s="3">
        <v>32.059617734465746</v>
      </c>
      <c r="F10" t="s">
        <v>486</v>
      </c>
      <c r="G10" s="3"/>
      <c r="I10" s="3"/>
      <c r="K10" s="3">
        <v>3.0201089170148894</v>
      </c>
      <c r="L10" t="s">
        <v>487</v>
      </c>
      <c r="M10" s="3">
        <v>0</v>
      </c>
      <c r="N10" t="s">
        <v>214</v>
      </c>
      <c r="O10" s="3">
        <v>0</v>
      </c>
      <c r="P10" t="s">
        <v>214</v>
      </c>
    </row>
    <row r="11" spans="1:16">
      <c r="A11" t="s">
        <v>119</v>
      </c>
      <c r="B11" s="2">
        <v>150</v>
      </c>
      <c r="C11" s="3">
        <v>24</v>
      </c>
      <c r="D11" t="s">
        <v>488</v>
      </c>
      <c r="E11" s="3">
        <v>20</v>
      </c>
      <c r="F11" t="s">
        <v>489</v>
      </c>
      <c r="G11" s="3">
        <v>6.666666666666667</v>
      </c>
      <c r="H11" t="s">
        <v>490</v>
      </c>
      <c r="I11" s="3">
        <v>0</v>
      </c>
      <c r="J11" t="s">
        <v>181</v>
      </c>
      <c r="K11" s="3">
        <v>3.9999999999999996</v>
      </c>
      <c r="L11" t="s">
        <v>169</v>
      </c>
      <c r="M11" s="3">
        <v>0</v>
      </c>
      <c r="N11" t="s">
        <v>170</v>
      </c>
      <c r="O11" s="3">
        <v>0</v>
      </c>
      <c r="P11" t="s">
        <v>170</v>
      </c>
    </row>
    <row r="12" spans="1:16">
      <c r="A12" t="s">
        <v>129</v>
      </c>
      <c r="B12" s="2">
        <v>150</v>
      </c>
      <c r="C12" s="3">
        <v>32.666666666666664</v>
      </c>
      <c r="D12" t="s">
        <v>491</v>
      </c>
      <c r="E12" s="3">
        <v>30</v>
      </c>
      <c r="F12" t="s">
        <v>492</v>
      </c>
      <c r="G12" s="3">
        <v>7.333333333333333</v>
      </c>
      <c r="H12" t="s">
        <v>384</v>
      </c>
      <c r="I12" s="3">
        <v>0</v>
      </c>
      <c r="J12" t="s">
        <v>181</v>
      </c>
      <c r="K12" s="3">
        <v>2.6666666666666665</v>
      </c>
      <c r="L12" t="s">
        <v>493</v>
      </c>
      <c r="M12" s="3">
        <v>0</v>
      </c>
      <c r="N12" t="s">
        <v>170</v>
      </c>
      <c r="O12" s="3">
        <v>0</v>
      </c>
      <c r="P12" t="s">
        <v>170</v>
      </c>
    </row>
    <row r="13" spans="1:16">
      <c r="A13" t="s">
        <v>120</v>
      </c>
      <c r="B13" s="2">
        <v>294</v>
      </c>
      <c r="C13" s="3">
        <v>18.707482993197278</v>
      </c>
      <c r="D13" t="s">
        <v>494</v>
      </c>
      <c r="E13" s="3">
        <v>17.687074829931973</v>
      </c>
      <c r="F13" t="s">
        <v>495</v>
      </c>
      <c r="G13" s="3"/>
      <c r="I13" s="3"/>
      <c r="K13" s="3">
        <v>3.0612244897959182</v>
      </c>
      <c r="L13" t="s">
        <v>496</v>
      </c>
      <c r="M13" s="3">
        <v>2.0408163265306123</v>
      </c>
      <c r="N13" t="s">
        <v>497</v>
      </c>
      <c r="O13" s="3">
        <v>0</v>
      </c>
      <c r="P13" t="s">
        <v>162</v>
      </c>
    </row>
    <row r="14" spans="1:16">
      <c r="A14" t="s">
        <v>228</v>
      </c>
      <c r="B14" s="2">
        <v>149</v>
      </c>
      <c r="C14" s="3">
        <v>22.818791946308725</v>
      </c>
      <c r="D14" t="s">
        <v>498</v>
      </c>
      <c r="E14" s="3">
        <v>22.147651006711406</v>
      </c>
      <c r="F14" t="s">
        <v>499</v>
      </c>
      <c r="G14" s="3">
        <v>0</v>
      </c>
      <c r="H14" t="s">
        <v>198</v>
      </c>
      <c r="I14" s="3">
        <v>0</v>
      </c>
      <c r="J14" t="s">
        <v>198</v>
      </c>
      <c r="K14" s="3">
        <v>0.67114093959731547</v>
      </c>
      <c r="L14" t="s">
        <v>276</v>
      </c>
      <c r="M14" s="3">
        <v>0</v>
      </c>
      <c r="N14" t="s">
        <v>170</v>
      </c>
      <c r="O14" s="3">
        <v>0</v>
      </c>
      <c r="P14" t="s">
        <v>170</v>
      </c>
    </row>
    <row r="15" spans="1:16">
      <c r="A15" t="s">
        <v>233</v>
      </c>
      <c r="B15" s="2">
        <v>150</v>
      </c>
      <c r="C15" s="3">
        <v>5.3333333333333339</v>
      </c>
      <c r="D15" t="s">
        <v>235</v>
      </c>
      <c r="E15" s="3">
        <v>5.3333333333333339</v>
      </c>
      <c r="F15" t="s">
        <v>235</v>
      </c>
      <c r="G15" s="3">
        <v>0</v>
      </c>
      <c r="H15" t="s">
        <v>181</v>
      </c>
      <c r="I15" s="3">
        <v>0</v>
      </c>
      <c r="J15" t="s">
        <v>181</v>
      </c>
      <c r="K15" s="3">
        <v>0</v>
      </c>
      <c r="L15" t="s">
        <v>170</v>
      </c>
      <c r="M15" s="3">
        <v>0</v>
      </c>
      <c r="N15" t="s">
        <v>170</v>
      </c>
      <c r="O15" s="3">
        <v>0</v>
      </c>
      <c r="P15" t="s">
        <v>170</v>
      </c>
    </row>
    <row r="16" spans="1:16">
      <c r="A16" t="s">
        <v>116</v>
      </c>
      <c r="B16" s="2">
        <v>23</v>
      </c>
      <c r="C16" s="3">
        <v>21.739130434782609</v>
      </c>
      <c r="D16" t="s">
        <v>500</v>
      </c>
      <c r="E16" s="3">
        <v>17.391304347826086</v>
      </c>
      <c r="F16" t="s">
        <v>501</v>
      </c>
      <c r="G16" s="3">
        <v>0</v>
      </c>
      <c r="H16" t="s">
        <v>502</v>
      </c>
      <c r="I16" s="3">
        <v>0</v>
      </c>
      <c r="J16" t="s">
        <v>502</v>
      </c>
      <c r="K16" s="3">
        <v>4.3478260869565215</v>
      </c>
      <c r="L16" t="s">
        <v>503</v>
      </c>
      <c r="M16" s="3">
        <v>0</v>
      </c>
      <c r="N16" t="s">
        <v>504</v>
      </c>
      <c r="O16" s="3">
        <v>0</v>
      </c>
      <c r="P16" t="s">
        <v>504</v>
      </c>
    </row>
    <row r="17" spans="1:16">
      <c r="A17" t="s">
        <v>121</v>
      </c>
      <c r="B17" s="2">
        <v>45</v>
      </c>
      <c r="C17" s="3">
        <v>2.2222222222222223</v>
      </c>
      <c r="D17" t="s">
        <v>505</v>
      </c>
      <c r="E17" s="3">
        <v>2.2222222222222223</v>
      </c>
      <c r="F17" t="s">
        <v>505</v>
      </c>
      <c r="G17" s="3">
        <v>0</v>
      </c>
      <c r="H17" t="s">
        <v>387</v>
      </c>
      <c r="I17" s="3">
        <v>0</v>
      </c>
      <c r="J17" t="s">
        <v>387</v>
      </c>
      <c r="K17" s="3">
        <v>0</v>
      </c>
      <c r="L17" t="s">
        <v>388</v>
      </c>
      <c r="M17" s="3">
        <v>0</v>
      </c>
      <c r="N17" t="s">
        <v>388</v>
      </c>
      <c r="O17" s="3">
        <v>0</v>
      </c>
      <c r="P17" t="s">
        <v>388</v>
      </c>
    </row>
    <row r="18" spans="1:16">
      <c r="A18" t="s">
        <v>123</v>
      </c>
      <c r="B18" s="2">
        <v>305</v>
      </c>
      <c r="C18" s="3">
        <v>25.245901639344265</v>
      </c>
      <c r="D18" t="s">
        <v>506</v>
      </c>
      <c r="E18" s="3">
        <v>22.950819672131146</v>
      </c>
      <c r="F18" t="s">
        <v>507</v>
      </c>
      <c r="G18" s="3">
        <v>2.6229508196721314</v>
      </c>
      <c r="H18" t="s">
        <v>508</v>
      </c>
      <c r="I18" s="3">
        <v>0</v>
      </c>
      <c r="J18" t="s">
        <v>268</v>
      </c>
      <c r="K18" s="3">
        <v>1.9672131147540985</v>
      </c>
      <c r="L18" t="s">
        <v>302</v>
      </c>
      <c r="M18" s="3">
        <v>0.32786885245901642</v>
      </c>
      <c r="N18" t="s">
        <v>303</v>
      </c>
      <c r="O18" s="3">
        <v>0</v>
      </c>
      <c r="P18" t="s">
        <v>162</v>
      </c>
    </row>
    <row r="19" spans="1:16">
      <c r="A19" t="s">
        <v>139</v>
      </c>
      <c r="B19" s="2">
        <v>218</v>
      </c>
      <c r="C19" s="3">
        <v>27.522935779816514</v>
      </c>
      <c r="D19" s="31">
        <v>12621</v>
      </c>
      <c r="E19" s="3">
        <v>22.935779816513762</v>
      </c>
      <c r="F19" t="s">
        <v>509</v>
      </c>
      <c r="G19" s="3">
        <v>5.045871559633027</v>
      </c>
      <c r="H19" t="s">
        <v>510</v>
      </c>
      <c r="I19" s="3">
        <v>0.45871559633027525</v>
      </c>
      <c r="J19" t="s">
        <v>198</v>
      </c>
      <c r="K19" s="3">
        <v>0.91743119266055051</v>
      </c>
      <c r="L19" t="s">
        <v>511</v>
      </c>
      <c r="M19" s="3">
        <v>3.669724770642202</v>
      </c>
      <c r="N19" t="s">
        <v>512</v>
      </c>
      <c r="O19" s="3">
        <v>0</v>
      </c>
      <c r="P19" t="s">
        <v>210</v>
      </c>
    </row>
    <row r="20" spans="1:16">
      <c r="A20" t="s">
        <v>140</v>
      </c>
      <c r="B20" s="2">
        <v>150</v>
      </c>
      <c r="C20" s="3">
        <v>13.333333333333334</v>
      </c>
      <c r="D20" t="s">
        <v>513</v>
      </c>
      <c r="E20" s="3">
        <v>9.3333333333333321</v>
      </c>
      <c r="F20" t="s">
        <v>356</v>
      </c>
      <c r="G20" s="3">
        <v>1.3333333333333335</v>
      </c>
      <c r="H20" t="s">
        <v>167</v>
      </c>
      <c r="I20" s="3">
        <v>0</v>
      </c>
      <c r="J20" t="s">
        <v>181</v>
      </c>
      <c r="K20" s="3">
        <v>2.666666666666667</v>
      </c>
      <c r="L20" t="s">
        <v>493</v>
      </c>
      <c r="M20" s="3">
        <v>1.3333333333333335</v>
      </c>
      <c r="N20" t="s">
        <v>247</v>
      </c>
      <c r="O20" s="3">
        <v>0</v>
      </c>
      <c r="P20" t="s">
        <v>170</v>
      </c>
    </row>
    <row r="21" spans="1:16">
      <c r="A21" t="s">
        <v>271</v>
      </c>
      <c r="B21" s="2">
        <v>149</v>
      </c>
      <c r="C21" s="3">
        <v>33.557046979865774</v>
      </c>
      <c r="D21" t="s">
        <v>514</v>
      </c>
      <c r="E21" s="3">
        <v>27.516778523489933</v>
      </c>
      <c r="F21" t="s">
        <v>515</v>
      </c>
      <c r="G21" s="3">
        <v>8.724832214765101</v>
      </c>
      <c r="H21" t="s">
        <v>516</v>
      </c>
      <c r="I21" s="3">
        <v>0</v>
      </c>
      <c r="J21" t="s">
        <v>198</v>
      </c>
      <c r="K21" s="3">
        <v>4.6979865771812079</v>
      </c>
      <c r="L21" t="s">
        <v>357</v>
      </c>
      <c r="M21" s="3">
        <v>1.3422818791946309</v>
      </c>
      <c r="N21" t="s">
        <v>517</v>
      </c>
      <c r="O21" s="3">
        <v>0</v>
      </c>
      <c r="P21" t="s">
        <v>170</v>
      </c>
    </row>
    <row r="22" spans="1:16">
      <c r="A22" t="s">
        <v>277</v>
      </c>
      <c r="B22" s="2">
        <v>153</v>
      </c>
      <c r="C22" s="3">
        <v>30.718954248366014</v>
      </c>
      <c r="D22" t="s">
        <v>518</v>
      </c>
      <c r="E22" s="3">
        <v>27.450980392156865</v>
      </c>
      <c r="F22" t="s">
        <v>519</v>
      </c>
      <c r="G22" s="3">
        <v>5.882352941176471</v>
      </c>
      <c r="H22" t="s">
        <v>520</v>
      </c>
      <c r="I22" s="3">
        <v>0</v>
      </c>
      <c r="J22" t="s">
        <v>181</v>
      </c>
      <c r="K22" s="3">
        <v>3.2679738562091507</v>
      </c>
      <c r="L22" t="s">
        <v>521</v>
      </c>
      <c r="M22" s="3">
        <v>0</v>
      </c>
      <c r="N22" t="s">
        <v>170</v>
      </c>
      <c r="O22" s="3">
        <v>0</v>
      </c>
      <c r="P22" t="s">
        <v>170</v>
      </c>
    </row>
    <row r="23" spans="1:16">
      <c r="A23" t="s">
        <v>130</v>
      </c>
      <c r="B23" s="2">
        <v>150</v>
      </c>
      <c r="C23" s="3">
        <v>64</v>
      </c>
      <c r="D23" t="s">
        <v>522</v>
      </c>
      <c r="E23" s="3">
        <v>57.999999999999993</v>
      </c>
      <c r="F23" t="s">
        <v>523</v>
      </c>
      <c r="G23" s="3">
        <v>5.333333333333333</v>
      </c>
      <c r="H23" t="s">
        <v>524</v>
      </c>
      <c r="I23" s="3">
        <v>1.3333333333333333</v>
      </c>
      <c r="J23" t="s">
        <v>167</v>
      </c>
      <c r="K23" s="3">
        <v>0.66666666666666663</v>
      </c>
      <c r="L23" t="s">
        <v>276</v>
      </c>
      <c r="M23" s="3">
        <v>5.333333333333333</v>
      </c>
      <c r="N23" t="s">
        <v>235</v>
      </c>
      <c r="O23" s="3">
        <v>0</v>
      </c>
      <c r="P23" t="s">
        <v>170</v>
      </c>
    </row>
    <row r="24" spans="1:16" ht="14.65" thickBot="1">
      <c r="A24" s="5" t="s">
        <v>525</v>
      </c>
      <c r="B24" s="6">
        <v>81</v>
      </c>
      <c r="C24" s="7">
        <v>0</v>
      </c>
      <c r="D24" s="7" t="s">
        <v>526</v>
      </c>
      <c r="E24" s="7">
        <v>0</v>
      </c>
      <c r="F24" s="7" t="s">
        <v>526</v>
      </c>
      <c r="G24" s="7">
        <v>0</v>
      </c>
      <c r="H24" s="7" t="s">
        <v>527</v>
      </c>
      <c r="I24" s="7">
        <v>0</v>
      </c>
      <c r="J24" s="7" t="s">
        <v>527</v>
      </c>
      <c r="K24" s="7">
        <v>0</v>
      </c>
      <c r="L24" s="7" t="s">
        <v>526</v>
      </c>
      <c r="M24" s="7">
        <v>0</v>
      </c>
      <c r="N24" s="7" t="s">
        <v>526</v>
      </c>
      <c r="O24" s="7">
        <v>0</v>
      </c>
      <c r="P24" s="7" t="s">
        <v>526</v>
      </c>
    </row>
    <row r="25" spans="1:16" ht="14.65" thickBot="1">
      <c r="A25" s="4" t="s">
        <v>528</v>
      </c>
      <c r="B25" s="8">
        <f>SUM(B3:B24)</f>
        <v>3790</v>
      </c>
      <c r="C25" s="9">
        <v>24.247106344174245</v>
      </c>
      <c r="D25" s="9" t="s">
        <v>529</v>
      </c>
      <c r="E25" s="9">
        <v>21.199655820043052</v>
      </c>
      <c r="F25" s="9" t="s">
        <v>530</v>
      </c>
      <c r="G25" s="9">
        <v>3.2404899099503601</v>
      </c>
      <c r="H25" s="9" t="s">
        <v>531</v>
      </c>
      <c r="I25" s="9">
        <v>0.10341989074309661</v>
      </c>
      <c r="J25" s="9" t="s">
        <v>532</v>
      </c>
      <c r="K25" s="9">
        <v>2.4379604193049511</v>
      </c>
      <c r="L25" s="9" t="s">
        <v>533</v>
      </c>
      <c r="M25" s="9">
        <v>0.92748494212688359</v>
      </c>
      <c r="N25" s="9" t="s">
        <v>534</v>
      </c>
      <c r="O25" s="9">
        <v>0</v>
      </c>
      <c r="P25" s="9" t="s">
        <v>297</v>
      </c>
    </row>
    <row r="26" spans="1:16">
      <c r="A26" t="s">
        <v>145</v>
      </c>
      <c r="B26" s="2">
        <v>121</v>
      </c>
      <c r="C26" s="3">
        <v>0</v>
      </c>
      <c r="D26" t="s">
        <v>535</v>
      </c>
      <c r="E26" s="3">
        <v>0</v>
      </c>
      <c r="F26" t="s">
        <v>535</v>
      </c>
      <c r="G26" s="3">
        <v>0</v>
      </c>
      <c r="H26" t="s">
        <v>536</v>
      </c>
      <c r="I26" s="3">
        <v>0</v>
      </c>
      <c r="J26" t="s">
        <v>536</v>
      </c>
      <c r="K26" s="3">
        <v>0</v>
      </c>
      <c r="L26" t="s">
        <v>535</v>
      </c>
      <c r="M26" s="3">
        <v>0</v>
      </c>
      <c r="N26" t="s">
        <v>535</v>
      </c>
      <c r="O26" s="3">
        <v>0</v>
      </c>
      <c r="P26" t="s">
        <v>535</v>
      </c>
    </row>
    <row r="27" spans="1:16" ht="14.65" thickBot="1">
      <c r="A27" s="5" t="s">
        <v>142</v>
      </c>
      <c r="B27" s="6">
        <v>139</v>
      </c>
      <c r="C27" s="7">
        <v>18.705035971223023</v>
      </c>
      <c r="D27" s="7" t="s">
        <v>537</v>
      </c>
      <c r="E27" s="7">
        <v>15.827338129496402</v>
      </c>
      <c r="F27" s="7" t="s">
        <v>538</v>
      </c>
      <c r="G27" s="7">
        <v>2.1582733812949639</v>
      </c>
      <c r="H27" s="7" t="s">
        <v>539</v>
      </c>
      <c r="I27" s="7">
        <v>0.71942446043165476</v>
      </c>
      <c r="J27" s="7" t="s">
        <v>540</v>
      </c>
      <c r="K27" s="7">
        <v>2.1582733812949639</v>
      </c>
      <c r="L27" s="7" t="s">
        <v>541</v>
      </c>
      <c r="M27" s="7">
        <v>0.71942446043165476</v>
      </c>
      <c r="N27" s="7" t="s">
        <v>542</v>
      </c>
      <c r="O27" s="7">
        <v>0</v>
      </c>
      <c r="P27" s="7" t="s">
        <v>543</v>
      </c>
    </row>
    <row r="28" spans="1:16" ht="14.65" thickBot="1">
      <c r="A28" s="4" t="s">
        <v>454</v>
      </c>
      <c r="B28" s="8">
        <v>260</v>
      </c>
      <c r="C28" s="9">
        <v>10</v>
      </c>
      <c r="D28" s="21" t="s">
        <v>544</v>
      </c>
      <c r="E28" s="9">
        <v>8.5</v>
      </c>
      <c r="F28" s="21" t="s">
        <v>545</v>
      </c>
      <c r="G28" s="9">
        <v>1.2</v>
      </c>
      <c r="H28" s="21" t="s">
        <v>546</v>
      </c>
      <c r="I28" s="9">
        <v>0.4</v>
      </c>
      <c r="J28" s="21" t="s">
        <v>547</v>
      </c>
      <c r="K28" s="9">
        <v>1.2</v>
      </c>
      <c r="L28" s="21" t="s">
        <v>546</v>
      </c>
      <c r="M28" s="9">
        <v>0.4</v>
      </c>
      <c r="N28" s="21" t="s">
        <v>547</v>
      </c>
      <c r="O28" s="9">
        <v>0</v>
      </c>
      <c r="P28" s="21" t="s">
        <v>362</v>
      </c>
    </row>
    <row r="29" spans="1:16" ht="14.65" thickBot="1">
      <c r="A29" s="4" t="s">
        <v>311</v>
      </c>
      <c r="B29" s="8">
        <v>4050</v>
      </c>
      <c r="C29" s="9">
        <v>23.3</v>
      </c>
      <c r="D29" s="21" t="s">
        <v>548</v>
      </c>
      <c r="E29" s="9">
        <v>20.399999999999999</v>
      </c>
      <c r="F29" s="21" t="s">
        <v>549</v>
      </c>
      <c r="G29" s="9">
        <v>3.1</v>
      </c>
      <c r="H29" s="21" t="s">
        <v>550</v>
      </c>
      <c r="I29" s="9">
        <v>0.1</v>
      </c>
      <c r="J29" s="21" t="s">
        <v>532</v>
      </c>
      <c r="K29" s="9">
        <v>2.4</v>
      </c>
      <c r="L29" s="21" t="s">
        <v>551</v>
      </c>
      <c r="M29" s="9">
        <v>0.9</v>
      </c>
      <c r="N29" s="30" t="s">
        <v>552</v>
      </c>
      <c r="O29" s="9">
        <v>0</v>
      </c>
      <c r="P29" s="21" t="s">
        <v>317</v>
      </c>
    </row>
    <row r="31" spans="1:16">
      <c r="A31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7"/>
  <dimension ref="A1:P27"/>
  <sheetViews>
    <sheetView workbookViewId="0">
      <selection activeCell="N15" sqref="N15"/>
    </sheetView>
  </sheetViews>
  <sheetFormatPr defaultColWidth="10.7109375" defaultRowHeight="14.25"/>
  <cols>
    <col min="1" max="1" width="22.85546875" customWidth="1"/>
    <col min="4" max="4" width="11.5703125" bestFit="1" customWidth="1"/>
    <col min="8" max="8" width="12.7109375" customWidth="1"/>
    <col min="10" max="10" width="12.8554687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149</v>
      </c>
      <c r="B3" s="2">
        <v>74</v>
      </c>
      <c r="C3" s="2">
        <v>74</v>
      </c>
      <c r="D3" s="3">
        <f>(C3/B3)*100</f>
        <v>100</v>
      </c>
      <c r="E3" s="2">
        <v>57</v>
      </c>
      <c r="F3" s="3">
        <f>(E3/B3)*100</f>
        <v>77.027027027027032</v>
      </c>
      <c r="G3">
        <v>6</v>
      </c>
      <c r="H3" s="3">
        <f>(G3/B3)*100</f>
        <v>8.1081081081081088</v>
      </c>
      <c r="I3">
        <v>0</v>
      </c>
      <c r="J3" s="3">
        <f>(I3/B3)*100</f>
        <v>0</v>
      </c>
      <c r="K3" s="2">
        <v>13</v>
      </c>
      <c r="L3" s="3">
        <f>(K3/B3)*100</f>
        <v>17.567567567567568</v>
      </c>
      <c r="M3" s="2">
        <v>4</v>
      </c>
      <c r="N3" s="3">
        <f>(M3/B3)*100</f>
        <v>5.4054054054054053</v>
      </c>
      <c r="O3" s="2">
        <v>0</v>
      </c>
      <c r="P3">
        <f>(O3/B3)*100</f>
        <v>0</v>
      </c>
    </row>
    <row r="4" spans="1:16">
      <c r="A4" t="s">
        <v>134</v>
      </c>
      <c r="B4" s="2">
        <v>36</v>
      </c>
      <c r="C4" s="2">
        <v>33</v>
      </c>
      <c r="D4" s="3">
        <f t="shared" ref="D4:D25" si="0">(C4/B4)*100</f>
        <v>91.666666666666657</v>
      </c>
      <c r="E4" s="2">
        <v>28</v>
      </c>
      <c r="F4" s="3">
        <f t="shared" ref="F4:F25" si="1">(E4/B4)*100</f>
        <v>77.777777777777786</v>
      </c>
      <c r="G4">
        <v>7</v>
      </c>
      <c r="H4" s="3">
        <f t="shared" ref="H4:H25" si="2">(G4/B4)*100</f>
        <v>19.444444444444446</v>
      </c>
      <c r="I4">
        <v>0</v>
      </c>
      <c r="J4" s="3">
        <f t="shared" ref="J4:J25" si="3">(I4/B4)*100</f>
        <v>0</v>
      </c>
      <c r="K4" s="2">
        <v>4</v>
      </c>
      <c r="L4" s="3">
        <f t="shared" ref="L4:L25" si="4">(K4/B4)*100</f>
        <v>11.111111111111111</v>
      </c>
      <c r="M4" s="2">
        <v>1</v>
      </c>
      <c r="N4" s="3">
        <f t="shared" ref="N4:N25" si="5">(M4/B4)*100</f>
        <v>2.7777777777777777</v>
      </c>
      <c r="O4" s="2">
        <v>0</v>
      </c>
      <c r="P4">
        <f t="shared" ref="P4:P25" si="6">(O4/B4)*100</f>
        <v>0</v>
      </c>
    </row>
    <row r="5" spans="1:16">
      <c r="A5" t="s">
        <v>171</v>
      </c>
      <c r="B5" s="2">
        <v>11</v>
      </c>
      <c r="C5" s="2">
        <v>11</v>
      </c>
      <c r="D5" s="3">
        <f t="shared" si="0"/>
        <v>100</v>
      </c>
      <c r="E5" s="2">
        <v>10</v>
      </c>
      <c r="F5" s="3">
        <f t="shared" si="1"/>
        <v>90.909090909090907</v>
      </c>
      <c r="G5">
        <v>2</v>
      </c>
      <c r="H5" s="3">
        <f t="shared" si="2"/>
        <v>18.181818181818183</v>
      </c>
      <c r="I5">
        <v>0</v>
      </c>
      <c r="J5" s="3">
        <f t="shared" si="3"/>
        <v>0</v>
      </c>
      <c r="K5" s="2">
        <v>1</v>
      </c>
      <c r="L5" s="3">
        <f t="shared" si="4"/>
        <v>9.0909090909090917</v>
      </c>
      <c r="M5" s="2">
        <v>0</v>
      </c>
      <c r="N5" s="3">
        <f t="shared" si="5"/>
        <v>0</v>
      </c>
      <c r="O5" s="2">
        <v>0</v>
      </c>
      <c r="P5">
        <f t="shared" si="6"/>
        <v>0</v>
      </c>
    </row>
    <row r="6" spans="1:16">
      <c r="A6" t="s">
        <v>184</v>
      </c>
      <c r="B6" s="2">
        <v>26</v>
      </c>
      <c r="C6" s="2">
        <v>26</v>
      </c>
      <c r="D6" s="3">
        <f t="shared" si="0"/>
        <v>100</v>
      </c>
      <c r="E6" s="2">
        <v>22</v>
      </c>
      <c r="F6" s="3">
        <f t="shared" si="1"/>
        <v>84.615384615384613</v>
      </c>
      <c r="H6" s="3"/>
      <c r="J6" s="3"/>
      <c r="K6" s="2">
        <v>4</v>
      </c>
      <c r="L6" s="3">
        <f t="shared" si="4"/>
        <v>15.384615384615385</v>
      </c>
      <c r="M6" s="2">
        <v>0</v>
      </c>
      <c r="N6" s="3">
        <f t="shared" si="5"/>
        <v>0</v>
      </c>
      <c r="O6" s="2">
        <v>0</v>
      </c>
      <c r="P6">
        <f t="shared" si="6"/>
        <v>0</v>
      </c>
    </row>
    <row r="7" spans="1:16">
      <c r="A7" t="s">
        <v>136</v>
      </c>
      <c r="B7" s="2">
        <v>59</v>
      </c>
      <c r="C7" s="2">
        <v>59</v>
      </c>
      <c r="D7" s="3">
        <f t="shared" si="0"/>
        <v>100</v>
      </c>
      <c r="E7" s="2">
        <v>53</v>
      </c>
      <c r="F7" s="3">
        <f t="shared" si="1"/>
        <v>89.830508474576277</v>
      </c>
      <c r="G7">
        <v>5</v>
      </c>
      <c r="H7" s="3">
        <f t="shared" si="2"/>
        <v>8.4745762711864394</v>
      </c>
      <c r="I7">
        <v>0</v>
      </c>
      <c r="J7" s="3">
        <f t="shared" si="3"/>
        <v>0</v>
      </c>
      <c r="K7" s="2">
        <v>3</v>
      </c>
      <c r="L7" s="3">
        <f t="shared" si="4"/>
        <v>5.0847457627118651</v>
      </c>
      <c r="M7" s="2">
        <v>3</v>
      </c>
      <c r="N7" s="3">
        <f t="shared" si="5"/>
        <v>5.0847457627118651</v>
      </c>
      <c r="O7" s="2">
        <v>0</v>
      </c>
      <c r="P7">
        <f t="shared" si="6"/>
        <v>0</v>
      </c>
    </row>
    <row r="8" spans="1:16">
      <c r="A8" t="s">
        <v>204</v>
      </c>
      <c r="B8" s="2">
        <v>24</v>
      </c>
      <c r="C8" s="2">
        <v>23</v>
      </c>
      <c r="D8" s="3">
        <f t="shared" si="0"/>
        <v>95.833333333333343</v>
      </c>
      <c r="E8" s="2">
        <v>15</v>
      </c>
      <c r="F8" s="3">
        <f t="shared" si="1"/>
        <v>62.5</v>
      </c>
      <c r="G8">
        <v>2</v>
      </c>
      <c r="H8" s="3">
        <f t="shared" si="2"/>
        <v>8.3333333333333321</v>
      </c>
      <c r="I8">
        <v>0</v>
      </c>
      <c r="J8" s="3">
        <f t="shared" si="3"/>
        <v>0</v>
      </c>
      <c r="K8" s="2">
        <v>8</v>
      </c>
      <c r="L8" s="3">
        <f t="shared" si="4"/>
        <v>33.333333333333329</v>
      </c>
      <c r="M8" s="2">
        <v>0</v>
      </c>
      <c r="N8" s="3">
        <f t="shared" si="5"/>
        <v>0</v>
      </c>
      <c r="O8" s="2">
        <v>0</v>
      </c>
      <c r="P8">
        <f t="shared" si="6"/>
        <v>0</v>
      </c>
    </row>
    <row r="9" spans="1:16">
      <c r="A9" t="s">
        <v>128</v>
      </c>
      <c r="B9" s="2">
        <v>151</v>
      </c>
      <c r="C9" s="2">
        <v>151</v>
      </c>
      <c r="D9" s="3">
        <f t="shared" si="0"/>
        <v>100</v>
      </c>
      <c r="E9" s="2">
        <v>138</v>
      </c>
      <c r="F9" s="3">
        <f t="shared" si="1"/>
        <v>91.390728476821195</v>
      </c>
      <c r="H9" s="3"/>
      <c r="J9" s="3"/>
      <c r="K9" s="2">
        <v>13</v>
      </c>
      <c r="L9" s="3">
        <f t="shared" si="4"/>
        <v>8.6092715231788084</v>
      </c>
      <c r="M9" s="2">
        <v>0</v>
      </c>
      <c r="N9" s="3">
        <f t="shared" si="5"/>
        <v>0</v>
      </c>
      <c r="O9" s="2">
        <v>0</v>
      </c>
      <c r="P9">
        <f t="shared" si="6"/>
        <v>0</v>
      </c>
    </row>
    <row r="10" spans="1:16">
      <c r="A10" t="s">
        <v>119</v>
      </c>
      <c r="B10" s="2">
        <v>36</v>
      </c>
      <c r="C10" s="2">
        <v>36</v>
      </c>
      <c r="D10" s="3">
        <f t="shared" si="0"/>
        <v>100</v>
      </c>
      <c r="E10" s="2">
        <v>30</v>
      </c>
      <c r="F10" s="3">
        <f t="shared" si="1"/>
        <v>83.333333333333343</v>
      </c>
      <c r="G10">
        <v>10</v>
      </c>
      <c r="H10" s="3">
        <f t="shared" si="2"/>
        <v>27.777777777777779</v>
      </c>
      <c r="I10">
        <v>0</v>
      </c>
      <c r="J10" s="3">
        <f t="shared" si="3"/>
        <v>0</v>
      </c>
      <c r="K10" s="2">
        <v>6</v>
      </c>
      <c r="L10" s="3">
        <f t="shared" si="4"/>
        <v>16.666666666666664</v>
      </c>
      <c r="M10" s="2">
        <v>0</v>
      </c>
      <c r="N10" s="3">
        <f t="shared" si="5"/>
        <v>0</v>
      </c>
      <c r="O10" s="2">
        <v>0</v>
      </c>
      <c r="P10">
        <f t="shared" si="6"/>
        <v>0</v>
      </c>
    </row>
    <row r="11" spans="1:16">
      <c r="A11" t="s">
        <v>129</v>
      </c>
      <c r="B11" s="2">
        <v>50</v>
      </c>
      <c r="C11" s="2">
        <v>49</v>
      </c>
      <c r="D11" s="3">
        <f t="shared" si="0"/>
        <v>98</v>
      </c>
      <c r="E11" s="2">
        <v>45</v>
      </c>
      <c r="F11" s="3">
        <f t="shared" si="1"/>
        <v>90</v>
      </c>
      <c r="G11">
        <v>11</v>
      </c>
      <c r="H11" s="3">
        <f t="shared" si="2"/>
        <v>22</v>
      </c>
      <c r="I11">
        <v>0</v>
      </c>
      <c r="J11" s="3">
        <f t="shared" si="3"/>
        <v>0</v>
      </c>
      <c r="K11" s="2">
        <v>4</v>
      </c>
      <c r="L11" s="3">
        <f t="shared" si="4"/>
        <v>8</v>
      </c>
      <c r="M11" s="2">
        <v>0</v>
      </c>
      <c r="N11" s="3">
        <f t="shared" si="5"/>
        <v>0</v>
      </c>
      <c r="O11" s="2">
        <v>0</v>
      </c>
      <c r="P11">
        <f t="shared" si="6"/>
        <v>0</v>
      </c>
    </row>
    <row r="12" spans="1:16">
      <c r="A12" t="s">
        <v>120</v>
      </c>
      <c r="B12" s="2">
        <v>56</v>
      </c>
      <c r="C12" s="2">
        <v>55</v>
      </c>
      <c r="D12" s="3">
        <f t="shared" si="0"/>
        <v>98.214285714285708</v>
      </c>
      <c r="E12" s="2">
        <v>52</v>
      </c>
      <c r="F12" s="3">
        <f t="shared" si="1"/>
        <v>92.857142857142861</v>
      </c>
      <c r="H12" s="3"/>
      <c r="J12" s="3"/>
      <c r="K12" s="2">
        <v>9</v>
      </c>
      <c r="L12" s="3">
        <f t="shared" si="4"/>
        <v>16.071428571428573</v>
      </c>
      <c r="M12" s="2">
        <v>6</v>
      </c>
      <c r="N12" s="3">
        <f t="shared" si="5"/>
        <v>10.714285714285714</v>
      </c>
      <c r="O12" s="2">
        <v>0</v>
      </c>
      <c r="P12">
        <f t="shared" si="6"/>
        <v>0</v>
      </c>
    </row>
    <row r="13" spans="1:16">
      <c r="A13" t="s">
        <v>228</v>
      </c>
      <c r="B13" s="2">
        <v>35</v>
      </c>
      <c r="C13" s="2">
        <v>34</v>
      </c>
      <c r="D13" s="3">
        <f t="shared" si="0"/>
        <v>97.142857142857139</v>
      </c>
      <c r="E13" s="2">
        <v>33</v>
      </c>
      <c r="F13" s="3">
        <f t="shared" si="1"/>
        <v>94.285714285714278</v>
      </c>
      <c r="G13">
        <v>0</v>
      </c>
      <c r="H13" s="3">
        <f t="shared" si="2"/>
        <v>0</v>
      </c>
      <c r="I13">
        <v>0</v>
      </c>
      <c r="J13" s="3">
        <f t="shared" si="3"/>
        <v>0</v>
      </c>
      <c r="K13" s="2">
        <v>1</v>
      </c>
      <c r="L13" s="3">
        <f t="shared" si="4"/>
        <v>2.8571428571428572</v>
      </c>
      <c r="M13" s="2">
        <v>0</v>
      </c>
      <c r="N13" s="3">
        <f t="shared" si="5"/>
        <v>0</v>
      </c>
      <c r="O13" s="2">
        <v>0</v>
      </c>
      <c r="P13">
        <f t="shared" si="6"/>
        <v>0</v>
      </c>
    </row>
    <row r="14" spans="1:16">
      <c r="A14" t="s">
        <v>233</v>
      </c>
      <c r="B14" s="2">
        <v>8</v>
      </c>
      <c r="C14" s="2">
        <v>8</v>
      </c>
      <c r="D14" s="3">
        <f t="shared" si="0"/>
        <v>100</v>
      </c>
      <c r="E14" s="2">
        <v>8</v>
      </c>
      <c r="F14" s="3">
        <f t="shared" si="1"/>
        <v>100</v>
      </c>
      <c r="G14">
        <v>0</v>
      </c>
      <c r="H14" s="3">
        <f t="shared" si="2"/>
        <v>0</v>
      </c>
      <c r="I14">
        <v>0</v>
      </c>
      <c r="J14" s="3">
        <f t="shared" si="3"/>
        <v>0</v>
      </c>
      <c r="K14" s="2">
        <v>0</v>
      </c>
      <c r="L14" s="3">
        <f t="shared" si="4"/>
        <v>0</v>
      </c>
      <c r="M14" s="2">
        <v>0</v>
      </c>
      <c r="N14" s="3">
        <f t="shared" si="5"/>
        <v>0</v>
      </c>
      <c r="O14" s="2">
        <v>0</v>
      </c>
      <c r="P14">
        <f t="shared" si="6"/>
        <v>0</v>
      </c>
    </row>
    <row r="15" spans="1:16">
      <c r="A15" t="s">
        <v>116</v>
      </c>
      <c r="B15" s="2">
        <v>5</v>
      </c>
      <c r="C15" s="2">
        <v>5</v>
      </c>
      <c r="D15" s="3">
        <f t="shared" si="0"/>
        <v>100</v>
      </c>
      <c r="E15" s="2">
        <v>4</v>
      </c>
      <c r="F15" s="3">
        <f t="shared" si="1"/>
        <v>80</v>
      </c>
      <c r="G15">
        <v>0</v>
      </c>
      <c r="H15" s="3">
        <f t="shared" si="2"/>
        <v>0</v>
      </c>
      <c r="I15">
        <v>0</v>
      </c>
      <c r="J15" s="3">
        <f t="shared" si="3"/>
        <v>0</v>
      </c>
      <c r="K15" s="2">
        <v>1</v>
      </c>
      <c r="L15" s="3">
        <f t="shared" si="4"/>
        <v>20</v>
      </c>
      <c r="M15" s="2">
        <v>0</v>
      </c>
      <c r="N15" s="3">
        <f t="shared" si="5"/>
        <v>0</v>
      </c>
      <c r="O15" s="2">
        <v>0</v>
      </c>
      <c r="P15">
        <f t="shared" si="6"/>
        <v>0</v>
      </c>
    </row>
    <row r="16" spans="1:16">
      <c r="A16" t="s">
        <v>121</v>
      </c>
      <c r="B16" s="2">
        <v>1</v>
      </c>
      <c r="C16" s="2">
        <v>1</v>
      </c>
      <c r="D16" s="3">
        <f t="shared" si="0"/>
        <v>100</v>
      </c>
      <c r="E16" s="2">
        <v>1</v>
      </c>
      <c r="F16" s="3">
        <f t="shared" si="1"/>
        <v>100</v>
      </c>
      <c r="G16">
        <v>0</v>
      </c>
      <c r="H16" s="3">
        <f t="shared" si="2"/>
        <v>0</v>
      </c>
      <c r="I16">
        <v>0</v>
      </c>
      <c r="J16" s="3">
        <f t="shared" si="3"/>
        <v>0</v>
      </c>
      <c r="K16" s="2">
        <v>0</v>
      </c>
      <c r="L16" s="3">
        <f t="shared" si="4"/>
        <v>0</v>
      </c>
      <c r="M16" s="2">
        <v>0</v>
      </c>
      <c r="N16" s="3">
        <f t="shared" si="5"/>
        <v>0</v>
      </c>
      <c r="O16" s="2">
        <v>0</v>
      </c>
      <c r="P16">
        <f t="shared" si="6"/>
        <v>0</v>
      </c>
    </row>
    <row r="17" spans="1:16">
      <c r="A17" t="s">
        <v>123</v>
      </c>
      <c r="B17" s="2">
        <v>77</v>
      </c>
      <c r="C17" s="2">
        <v>77</v>
      </c>
      <c r="D17" s="3">
        <f t="shared" si="0"/>
        <v>100</v>
      </c>
      <c r="E17" s="2">
        <v>70</v>
      </c>
      <c r="F17" s="3">
        <f t="shared" si="1"/>
        <v>90.909090909090907</v>
      </c>
      <c r="G17">
        <v>8</v>
      </c>
      <c r="H17" s="3">
        <f t="shared" si="2"/>
        <v>10.38961038961039</v>
      </c>
      <c r="I17">
        <v>0</v>
      </c>
      <c r="J17" s="3">
        <f t="shared" si="3"/>
        <v>0</v>
      </c>
      <c r="K17" s="2">
        <v>6</v>
      </c>
      <c r="L17" s="3">
        <f t="shared" si="4"/>
        <v>7.7922077922077921</v>
      </c>
      <c r="M17" s="2">
        <v>1</v>
      </c>
      <c r="N17" s="3">
        <f t="shared" si="5"/>
        <v>1.2987012987012987</v>
      </c>
      <c r="O17" s="2">
        <v>0</v>
      </c>
      <c r="P17">
        <f t="shared" si="6"/>
        <v>0</v>
      </c>
    </row>
    <row r="18" spans="1:16">
      <c r="A18" t="s">
        <v>139</v>
      </c>
      <c r="B18" s="2">
        <v>60</v>
      </c>
      <c r="C18" s="2">
        <v>60</v>
      </c>
      <c r="D18" s="3">
        <f t="shared" si="0"/>
        <v>100</v>
      </c>
      <c r="E18" s="2">
        <v>50</v>
      </c>
      <c r="F18" s="3">
        <f t="shared" si="1"/>
        <v>83.333333333333343</v>
      </c>
      <c r="G18">
        <v>11</v>
      </c>
      <c r="H18" s="3">
        <f t="shared" si="2"/>
        <v>18.333333333333332</v>
      </c>
      <c r="I18">
        <v>1</v>
      </c>
      <c r="J18" s="3">
        <f t="shared" si="3"/>
        <v>1.6666666666666667</v>
      </c>
      <c r="K18" s="2">
        <v>2</v>
      </c>
      <c r="L18" s="3">
        <f t="shared" si="4"/>
        <v>3.3333333333333335</v>
      </c>
      <c r="M18" s="2">
        <v>8</v>
      </c>
      <c r="N18" s="3">
        <f t="shared" si="5"/>
        <v>13.333333333333334</v>
      </c>
      <c r="O18" s="2">
        <v>0</v>
      </c>
      <c r="P18">
        <f t="shared" si="6"/>
        <v>0</v>
      </c>
    </row>
    <row r="19" spans="1:16">
      <c r="A19" t="s">
        <v>140</v>
      </c>
      <c r="B19" s="2">
        <v>20</v>
      </c>
      <c r="C19" s="2">
        <v>20</v>
      </c>
      <c r="D19" s="3">
        <f t="shared" si="0"/>
        <v>100</v>
      </c>
      <c r="E19" s="2">
        <v>14</v>
      </c>
      <c r="F19" s="3">
        <f t="shared" si="1"/>
        <v>70</v>
      </c>
      <c r="G19">
        <v>2</v>
      </c>
      <c r="H19" s="3">
        <f t="shared" si="2"/>
        <v>10</v>
      </c>
      <c r="I19">
        <v>0</v>
      </c>
      <c r="J19" s="3">
        <f t="shared" si="3"/>
        <v>0</v>
      </c>
      <c r="K19" s="2">
        <v>4</v>
      </c>
      <c r="L19" s="3">
        <f t="shared" si="4"/>
        <v>20</v>
      </c>
      <c r="M19" s="2">
        <v>2</v>
      </c>
      <c r="N19" s="3">
        <f t="shared" si="5"/>
        <v>10</v>
      </c>
      <c r="O19" s="2">
        <v>0</v>
      </c>
      <c r="P19">
        <f t="shared" si="6"/>
        <v>0</v>
      </c>
    </row>
    <row r="20" spans="1:16">
      <c r="A20" t="s">
        <v>271</v>
      </c>
      <c r="B20" s="2">
        <v>51</v>
      </c>
      <c r="C20" s="2">
        <v>50</v>
      </c>
      <c r="D20" s="3">
        <f t="shared" si="0"/>
        <v>98.039215686274503</v>
      </c>
      <c r="E20" s="2">
        <v>41</v>
      </c>
      <c r="F20" s="3">
        <f t="shared" si="1"/>
        <v>80.392156862745097</v>
      </c>
      <c r="G20">
        <v>13</v>
      </c>
      <c r="H20" s="3">
        <f t="shared" si="2"/>
        <v>25.490196078431371</v>
      </c>
      <c r="I20">
        <v>0</v>
      </c>
      <c r="J20" s="3">
        <f t="shared" si="3"/>
        <v>0</v>
      </c>
      <c r="K20" s="2">
        <v>7</v>
      </c>
      <c r="L20" s="3">
        <f t="shared" si="4"/>
        <v>13.725490196078432</v>
      </c>
      <c r="M20" s="2">
        <v>2</v>
      </c>
      <c r="N20" s="3">
        <f t="shared" si="5"/>
        <v>3.9215686274509802</v>
      </c>
      <c r="O20" s="2">
        <v>0</v>
      </c>
      <c r="P20">
        <f t="shared" si="6"/>
        <v>0</v>
      </c>
    </row>
    <row r="21" spans="1:16">
      <c r="A21" t="s">
        <v>277</v>
      </c>
      <c r="B21" s="2">
        <v>47</v>
      </c>
      <c r="C21" s="2">
        <v>47</v>
      </c>
      <c r="D21" s="3">
        <f t="shared" si="0"/>
        <v>100</v>
      </c>
      <c r="E21" s="2">
        <v>42</v>
      </c>
      <c r="F21" s="3">
        <f t="shared" si="1"/>
        <v>89.361702127659569</v>
      </c>
      <c r="G21">
        <v>9</v>
      </c>
      <c r="H21" s="3">
        <f t="shared" si="2"/>
        <v>19.148936170212767</v>
      </c>
      <c r="I21">
        <v>0</v>
      </c>
      <c r="J21" s="3">
        <f t="shared" si="3"/>
        <v>0</v>
      </c>
      <c r="K21" s="2">
        <v>5</v>
      </c>
      <c r="L21" s="3">
        <f t="shared" si="4"/>
        <v>10.638297872340425</v>
      </c>
      <c r="M21" s="2">
        <v>0</v>
      </c>
      <c r="N21" s="3">
        <f t="shared" si="5"/>
        <v>0</v>
      </c>
      <c r="O21" s="2">
        <v>0</v>
      </c>
      <c r="P21">
        <f t="shared" si="6"/>
        <v>0</v>
      </c>
    </row>
    <row r="22" spans="1:16" ht="14.65" thickBot="1">
      <c r="A22" s="5" t="s">
        <v>130</v>
      </c>
      <c r="B22" s="6">
        <v>96</v>
      </c>
      <c r="C22" s="6">
        <v>96</v>
      </c>
      <c r="D22" s="7">
        <f t="shared" si="0"/>
        <v>100</v>
      </c>
      <c r="E22" s="6">
        <v>87</v>
      </c>
      <c r="F22" s="7">
        <f t="shared" si="1"/>
        <v>90.625</v>
      </c>
      <c r="G22" s="5">
        <v>8</v>
      </c>
      <c r="H22" s="7">
        <f t="shared" si="2"/>
        <v>8.3333333333333321</v>
      </c>
      <c r="I22" s="5">
        <v>2</v>
      </c>
      <c r="J22" s="7">
        <f t="shared" si="3"/>
        <v>2.083333333333333</v>
      </c>
      <c r="K22" s="6">
        <v>1</v>
      </c>
      <c r="L22" s="7">
        <f t="shared" si="4"/>
        <v>1.0416666666666665</v>
      </c>
      <c r="M22" s="6">
        <v>8</v>
      </c>
      <c r="N22" s="7">
        <f t="shared" si="5"/>
        <v>8.3333333333333321</v>
      </c>
      <c r="O22" s="6">
        <v>0</v>
      </c>
      <c r="P22" s="5">
        <f t="shared" si="6"/>
        <v>0</v>
      </c>
    </row>
    <row r="23" spans="1:16" ht="14.65" thickBot="1">
      <c r="A23" s="4" t="s">
        <v>553</v>
      </c>
      <c r="B23" s="8">
        <f>SUM(B3:B22)</f>
        <v>923</v>
      </c>
      <c r="C23" s="8">
        <f>SUM(C3:C22)</f>
        <v>915</v>
      </c>
      <c r="D23" s="9">
        <f t="shared" si="0"/>
        <v>99.133261105092103</v>
      </c>
      <c r="E23" s="8">
        <f t="shared" ref="E23:O23" si="7">SUM(E3:E22)</f>
        <v>800</v>
      </c>
      <c r="F23" s="9">
        <f t="shared" si="1"/>
        <v>86.673889490790899</v>
      </c>
      <c r="G23" s="8">
        <f t="shared" si="7"/>
        <v>94</v>
      </c>
      <c r="H23" s="9">
        <f t="shared" si="2"/>
        <v>10.184182015167931</v>
      </c>
      <c r="I23" s="8">
        <f t="shared" si="7"/>
        <v>3</v>
      </c>
      <c r="J23" s="9">
        <f t="shared" si="3"/>
        <v>0.32502708559046589</v>
      </c>
      <c r="K23" s="8">
        <f t="shared" si="7"/>
        <v>92</v>
      </c>
      <c r="L23" s="9">
        <f t="shared" si="4"/>
        <v>9.967497291440953</v>
      </c>
      <c r="M23" s="8">
        <f t="shared" si="7"/>
        <v>35</v>
      </c>
      <c r="N23" s="9">
        <f t="shared" si="5"/>
        <v>3.7919826652221018</v>
      </c>
      <c r="O23" s="8">
        <f t="shared" si="7"/>
        <v>0</v>
      </c>
      <c r="P23" s="4">
        <f t="shared" si="6"/>
        <v>0</v>
      </c>
    </row>
    <row r="24" spans="1:16">
      <c r="A24" s="10" t="s">
        <v>142</v>
      </c>
      <c r="B24" s="11">
        <v>26</v>
      </c>
      <c r="C24" s="11">
        <v>26</v>
      </c>
      <c r="D24" s="12">
        <f t="shared" si="0"/>
        <v>100</v>
      </c>
      <c r="E24" s="11">
        <v>22</v>
      </c>
      <c r="F24" s="12">
        <f t="shared" si="1"/>
        <v>84.615384615384613</v>
      </c>
      <c r="G24" s="11">
        <v>3</v>
      </c>
      <c r="H24" s="12">
        <f t="shared" si="2"/>
        <v>11.538461538461538</v>
      </c>
      <c r="I24" s="10">
        <v>1</v>
      </c>
      <c r="J24" s="12">
        <f t="shared" si="3"/>
        <v>3.8461538461538463</v>
      </c>
      <c r="K24" s="11">
        <v>3</v>
      </c>
      <c r="L24" s="12">
        <f t="shared" si="4"/>
        <v>11.538461538461538</v>
      </c>
      <c r="M24" s="11">
        <v>1</v>
      </c>
      <c r="N24" s="12">
        <f t="shared" si="5"/>
        <v>3.8461538461538463</v>
      </c>
      <c r="O24" s="11">
        <v>0</v>
      </c>
      <c r="P24" s="10">
        <f t="shared" si="6"/>
        <v>0</v>
      </c>
    </row>
    <row r="25" spans="1:16" ht="14.65" thickBot="1">
      <c r="A25" s="4" t="s">
        <v>311</v>
      </c>
      <c r="B25" s="8">
        <v>949</v>
      </c>
      <c r="C25" s="8">
        <v>941</v>
      </c>
      <c r="D25" s="9">
        <f t="shared" si="0"/>
        <v>99.157007376185462</v>
      </c>
      <c r="E25" s="8">
        <v>822</v>
      </c>
      <c r="F25" s="9">
        <f t="shared" si="1"/>
        <v>86.617492096944147</v>
      </c>
      <c r="G25" s="8">
        <f>SUM(G23:G24)</f>
        <v>97</v>
      </c>
      <c r="H25" s="9">
        <f t="shared" si="2"/>
        <v>10.221285563751318</v>
      </c>
      <c r="I25" s="8">
        <f>SUM(I23:I24)</f>
        <v>4</v>
      </c>
      <c r="J25" s="9">
        <f t="shared" si="3"/>
        <v>0.42149631190727077</v>
      </c>
      <c r="K25" s="8">
        <v>95</v>
      </c>
      <c r="L25" s="9">
        <f t="shared" si="4"/>
        <v>10.010537407797681</v>
      </c>
      <c r="M25" s="8">
        <v>36</v>
      </c>
      <c r="N25" s="9">
        <f t="shared" si="5"/>
        <v>3.7934668071654376</v>
      </c>
      <c r="O25" s="8">
        <v>0</v>
      </c>
      <c r="P25" s="4">
        <f t="shared" si="6"/>
        <v>0</v>
      </c>
    </row>
    <row r="27" spans="1:16">
      <c r="A27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8"/>
  <dimension ref="A1:P19"/>
  <sheetViews>
    <sheetView workbookViewId="0">
      <selection activeCell="I29" sqref="I29"/>
    </sheetView>
  </sheetViews>
  <sheetFormatPr defaultColWidth="10.7109375" defaultRowHeight="14.25"/>
  <cols>
    <col min="1" max="1" width="24.28515625" customWidth="1"/>
    <col min="8" max="8" width="12.7109375" customWidth="1"/>
    <col min="10" max="10" width="12.4257812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149</v>
      </c>
      <c r="B3" s="2">
        <v>141</v>
      </c>
      <c r="C3" s="3">
        <v>17.730496453900709</v>
      </c>
      <c r="D3" t="s">
        <v>554</v>
      </c>
      <c r="E3" s="3">
        <v>16.312056737588655</v>
      </c>
      <c r="F3" t="s">
        <v>555</v>
      </c>
      <c r="G3" s="3">
        <v>2.8368794326241136</v>
      </c>
      <c r="H3" t="s">
        <v>556</v>
      </c>
      <c r="I3" s="3">
        <v>0</v>
      </c>
      <c r="J3" t="s">
        <v>557</v>
      </c>
      <c r="K3" s="3">
        <v>1.4184397163120568</v>
      </c>
      <c r="L3" t="s">
        <v>558</v>
      </c>
      <c r="M3" s="3">
        <v>0</v>
      </c>
      <c r="N3" t="s">
        <v>543</v>
      </c>
      <c r="O3">
        <v>0</v>
      </c>
      <c r="P3" t="s">
        <v>543</v>
      </c>
    </row>
    <row r="4" spans="1:16">
      <c r="A4" t="s">
        <v>171</v>
      </c>
      <c r="B4" s="2">
        <v>94</v>
      </c>
      <c r="C4" s="3">
        <v>11.702127659574469</v>
      </c>
      <c r="D4" t="s">
        <v>559</v>
      </c>
      <c r="E4" s="3">
        <v>10.638297872340425</v>
      </c>
      <c r="F4" t="s">
        <v>560</v>
      </c>
      <c r="G4" s="3">
        <v>2.1276595744680851</v>
      </c>
      <c r="H4" t="s">
        <v>561</v>
      </c>
      <c r="I4" s="3">
        <v>0</v>
      </c>
      <c r="J4" t="s">
        <v>540</v>
      </c>
      <c r="K4" s="3">
        <v>1.0638297872340425</v>
      </c>
      <c r="L4" t="s">
        <v>562</v>
      </c>
      <c r="M4" s="3">
        <v>0</v>
      </c>
      <c r="N4" t="s">
        <v>563</v>
      </c>
      <c r="O4">
        <v>0</v>
      </c>
      <c r="P4" t="s">
        <v>563</v>
      </c>
    </row>
    <row r="5" spans="1:16">
      <c r="A5" t="s">
        <v>204</v>
      </c>
      <c r="B5" s="2">
        <v>420</v>
      </c>
      <c r="C5" s="3">
        <v>1.9047619047619047</v>
      </c>
      <c r="D5" t="s">
        <v>564</v>
      </c>
      <c r="E5" s="3">
        <v>1.1904761904761907</v>
      </c>
      <c r="F5" t="s">
        <v>565</v>
      </c>
      <c r="G5" s="3">
        <v>0.47619047619047616</v>
      </c>
      <c r="H5" t="s">
        <v>442</v>
      </c>
      <c r="I5" s="3">
        <v>0</v>
      </c>
      <c r="J5" t="s">
        <v>256</v>
      </c>
      <c r="K5" s="3">
        <v>0.7142857142857143</v>
      </c>
      <c r="L5" t="s">
        <v>155</v>
      </c>
      <c r="M5" s="3">
        <v>0</v>
      </c>
      <c r="N5" t="s">
        <v>259</v>
      </c>
      <c r="O5">
        <v>0</v>
      </c>
      <c r="P5" t="s">
        <v>259</v>
      </c>
    </row>
    <row r="6" spans="1:16">
      <c r="A6" t="s">
        <v>128</v>
      </c>
      <c r="B6" s="2">
        <v>351</v>
      </c>
      <c r="C6" s="3">
        <v>39.03133903133903</v>
      </c>
      <c r="D6" t="s">
        <v>566</v>
      </c>
      <c r="E6" s="3">
        <v>36.096651886125571</v>
      </c>
      <c r="F6" t="s">
        <v>567</v>
      </c>
      <c r="G6" s="3"/>
      <c r="I6" s="3"/>
      <c r="K6" s="3">
        <v>2.9346871452134606</v>
      </c>
      <c r="L6" t="s">
        <v>568</v>
      </c>
      <c r="M6" s="3">
        <v>0</v>
      </c>
      <c r="N6" t="s">
        <v>194</v>
      </c>
      <c r="O6">
        <v>0</v>
      </c>
      <c r="P6" t="s">
        <v>194</v>
      </c>
    </row>
    <row r="7" spans="1:16">
      <c r="A7" t="s">
        <v>119</v>
      </c>
      <c r="B7" s="2">
        <v>300</v>
      </c>
      <c r="C7" s="3">
        <v>19</v>
      </c>
      <c r="D7" t="s">
        <v>569</v>
      </c>
      <c r="E7" s="3">
        <v>13.666666666666666</v>
      </c>
      <c r="F7" t="s">
        <v>570</v>
      </c>
      <c r="G7" s="3">
        <v>6.3333333333333321</v>
      </c>
      <c r="H7" t="s">
        <v>285</v>
      </c>
      <c r="I7" s="3">
        <v>0</v>
      </c>
      <c r="J7" t="s">
        <v>268</v>
      </c>
      <c r="K7" s="3">
        <v>5</v>
      </c>
      <c r="L7" t="s">
        <v>571</v>
      </c>
      <c r="M7" s="3">
        <v>0.33333333333333331</v>
      </c>
      <c r="N7" t="s">
        <v>303</v>
      </c>
      <c r="O7">
        <v>0</v>
      </c>
      <c r="P7" t="s">
        <v>162</v>
      </c>
    </row>
    <row r="8" spans="1:16">
      <c r="A8" t="s">
        <v>129</v>
      </c>
      <c r="B8" s="2">
        <v>98</v>
      </c>
      <c r="C8" s="3">
        <v>14.285714285714285</v>
      </c>
      <c r="D8" t="s">
        <v>572</v>
      </c>
      <c r="E8" s="3">
        <v>13.26530612244898</v>
      </c>
      <c r="F8" t="s">
        <v>573</v>
      </c>
      <c r="G8" s="3">
        <v>1.0204081632653061</v>
      </c>
      <c r="H8" t="s">
        <v>574</v>
      </c>
      <c r="I8" s="3">
        <v>0</v>
      </c>
      <c r="J8" t="s">
        <v>236</v>
      </c>
      <c r="K8" s="3">
        <v>1.0204081632653061</v>
      </c>
      <c r="L8" t="s">
        <v>575</v>
      </c>
      <c r="M8" s="3">
        <v>0</v>
      </c>
      <c r="N8" t="s">
        <v>276</v>
      </c>
      <c r="O8">
        <v>0</v>
      </c>
      <c r="P8" t="s">
        <v>276</v>
      </c>
    </row>
    <row r="9" spans="1:16">
      <c r="A9" t="s">
        <v>120</v>
      </c>
      <c r="B9" s="2">
        <v>397</v>
      </c>
      <c r="C9" s="3">
        <v>29.219143576826202</v>
      </c>
      <c r="D9" t="s">
        <v>576</v>
      </c>
      <c r="E9" s="3">
        <v>26.700251889168769</v>
      </c>
      <c r="F9" t="s">
        <v>577</v>
      </c>
      <c r="G9" s="3"/>
      <c r="I9" s="3"/>
      <c r="K9" s="3">
        <v>2.518891687657431</v>
      </c>
      <c r="L9" t="s">
        <v>578</v>
      </c>
      <c r="M9" s="3">
        <v>0</v>
      </c>
      <c r="N9" t="s">
        <v>259</v>
      </c>
      <c r="O9">
        <v>0</v>
      </c>
      <c r="P9" t="s">
        <v>259</v>
      </c>
    </row>
    <row r="10" spans="1:16">
      <c r="A10" t="s">
        <v>123</v>
      </c>
      <c r="B10" s="2">
        <v>374</v>
      </c>
      <c r="C10" s="3">
        <v>24.064171122994654</v>
      </c>
      <c r="D10" t="s">
        <v>579</v>
      </c>
      <c r="E10" s="3">
        <v>20.588235294117645</v>
      </c>
      <c r="F10" t="s">
        <v>580</v>
      </c>
      <c r="G10" s="3">
        <v>2.1390374331550803</v>
      </c>
      <c r="H10" t="s">
        <v>581</v>
      </c>
      <c r="I10" s="3">
        <v>0.53475935828877008</v>
      </c>
      <c r="J10" t="s">
        <v>582</v>
      </c>
      <c r="K10" s="3">
        <v>2.6737967914438503</v>
      </c>
      <c r="L10" t="s">
        <v>583</v>
      </c>
      <c r="M10" s="3">
        <v>0.80213903743315518</v>
      </c>
      <c r="N10" t="s">
        <v>584</v>
      </c>
      <c r="O10">
        <v>0</v>
      </c>
      <c r="P10" t="s">
        <v>194</v>
      </c>
    </row>
    <row r="11" spans="1:16">
      <c r="A11" t="s">
        <v>139</v>
      </c>
      <c r="B11" s="2">
        <v>284</v>
      </c>
      <c r="C11" s="3">
        <v>51.056338028169016</v>
      </c>
      <c r="D11" t="s">
        <v>585</v>
      </c>
      <c r="E11" s="3">
        <v>47.044768611670015</v>
      </c>
      <c r="F11" t="s">
        <v>586</v>
      </c>
      <c r="G11" s="3">
        <v>2.552816901408451</v>
      </c>
      <c r="H11" t="s">
        <v>587</v>
      </c>
      <c r="I11" s="3">
        <v>0</v>
      </c>
      <c r="J11" t="s">
        <v>588</v>
      </c>
      <c r="K11" s="3">
        <v>0</v>
      </c>
      <c r="L11" t="s">
        <v>348</v>
      </c>
      <c r="M11" s="3">
        <v>4.0115694164989941</v>
      </c>
      <c r="N11" t="s">
        <v>589</v>
      </c>
      <c r="O11">
        <v>0</v>
      </c>
      <c r="P11" t="s">
        <v>348</v>
      </c>
    </row>
    <row r="12" spans="1:16">
      <c r="A12" t="s">
        <v>140</v>
      </c>
      <c r="B12" s="2">
        <v>149</v>
      </c>
      <c r="C12" s="3">
        <v>47.651006711409394</v>
      </c>
      <c r="D12" t="s">
        <v>590</v>
      </c>
      <c r="E12" s="3">
        <v>22.464046021092997</v>
      </c>
      <c r="F12" t="s">
        <v>499</v>
      </c>
      <c r="G12" s="3">
        <v>12.933844678811122</v>
      </c>
      <c r="H12" t="s">
        <v>591</v>
      </c>
      <c r="I12" s="3">
        <v>0</v>
      </c>
      <c r="J12" t="s">
        <v>198</v>
      </c>
      <c r="K12" s="3">
        <v>0.68072866730584847</v>
      </c>
      <c r="L12" t="s">
        <v>276</v>
      </c>
      <c r="M12" s="3">
        <v>24.506232023010543</v>
      </c>
      <c r="N12" t="s">
        <v>592</v>
      </c>
      <c r="O12">
        <v>0</v>
      </c>
      <c r="P12" t="s">
        <v>170</v>
      </c>
    </row>
    <row r="13" spans="1:16">
      <c r="A13" t="s">
        <v>130</v>
      </c>
      <c r="B13" s="2">
        <v>566</v>
      </c>
      <c r="C13" s="3">
        <v>63.074204946996474</v>
      </c>
      <c r="D13" t="s">
        <v>593</v>
      </c>
      <c r="E13" s="3">
        <v>61.484098939929332</v>
      </c>
      <c r="F13" t="s">
        <v>594</v>
      </c>
      <c r="G13" s="3">
        <v>2.473498233215548</v>
      </c>
      <c r="H13" t="s">
        <v>595</v>
      </c>
      <c r="I13" s="3">
        <v>0.17667844522968199</v>
      </c>
      <c r="J13" t="s">
        <v>423</v>
      </c>
      <c r="K13" s="3">
        <v>0.53003533568904593</v>
      </c>
      <c r="L13" t="s">
        <v>379</v>
      </c>
      <c r="M13" s="3">
        <v>1.0600706713780919</v>
      </c>
      <c r="N13" t="s">
        <v>596</v>
      </c>
      <c r="O13">
        <v>0</v>
      </c>
      <c r="P13" t="s">
        <v>597</v>
      </c>
    </row>
    <row r="14" spans="1:16" ht="14.65" thickBot="1">
      <c r="A14" s="5" t="s">
        <v>525</v>
      </c>
      <c r="B14" s="6">
        <v>34</v>
      </c>
      <c r="C14" s="7">
        <v>0</v>
      </c>
      <c r="D14" s="7" t="s">
        <v>598</v>
      </c>
      <c r="E14" s="7">
        <v>0</v>
      </c>
      <c r="F14" s="7" t="s">
        <v>598</v>
      </c>
      <c r="G14" s="7">
        <v>0</v>
      </c>
      <c r="H14" s="7" t="s">
        <v>599</v>
      </c>
      <c r="I14" s="7">
        <v>0</v>
      </c>
      <c r="J14" s="7" t="s">
        <v>599</v>
      </c>
      <c r="K14" s="7">
        <v>0</v>
      </c>
      <c r="L14" s="7" t="s">
        <v>598</v>
      </c>
      <c r="M14" s="7">
        <v>0</v>
      </c>
      <c r="N14" s="7" t="s">
        <v>598</v>
      </c>
      <c r="O14" s="5">
        <v>0</v>
      </c>
      <c r="P14" s="7" t="s">
        <v>598</v>
      </c>
    </row>
    <row r="15" spans="1:16" ht="14.65" thickBot="1">
      <c r="A15" s="4" t="s">
        <v>600</v>
      </c>
      <c r="B15" s="8">
        <f>SUM(B3:B14)</f>
        <v>3208</v>
      </c>
      <c r="C15" s="9">
        <v>32.136281378266403</v>
      </c>
      <c r="D15" s="9" t="s">
        <v>297</v>
      </c>
      <c r="E15" s="9">
        <v>28.579572469604202</v>
      </c>
      <c r="F15" s="9" t="s">
        <v>601</v>
      </c>
      <c r="G15" s="9">
        <v>3.1133490689745611</v>
      </c>
      <c r="H15" s="9" t="s">
        <v>602</v>
      </c>
      <c r="I15" s="9">
        <v>0.12289535798583792</v>
      </c>
      <c r="J15" s="9" t="s">
        <v>448</v>
      </c>
      <c r="K15" s="9">
        <v>1.7626168042927701</v>
      </c>
      <c r="L15" s="9" t="s">
        <v>603</v>
      </c>
      <c r="M15" s="9">
        <v>1.7940921043694265</v>
      </c>
      <c r="N15" s="9" t="s">
        <v>604</v>
      </c>
      <c r="O15" s="4">
        <v>0</v>
      </c>
      <c r="P15" s="9" t="s">
        <v>297</v>
      </c>
    </row>
    <row r="16" spans="1:16" ht="14.65" thickBot="1">
      <c r="A16" s="35" t="s">
        <v>437</v>
      </c>
      <c r="B16" s="36">
        <v>110</v>
      </c>
      <c r="C16" s="34">
        <v>10</v>
      </c>
      <c r="D16" s="34" t="s">
        <v>468</v>
      </c>
      <c r="E16" s="34">
        <v>1.8181818181818183</v>
      </c>
      <c r="F16" s="34" t="s">
        <v>605</v>
      </c>
      <c r="G16" s="35"/>
      <c r="H16" s="34"/>
      <c r="I16" s="35"/>
      <c r="J16" s="34"/>
      <c r="K16" s="34">
        <v>8.1818181818181834</v>
      </c>
      <c r="L16" s="34" t="s">
        <v>606</v>
      </c>
      <c r="M16" s="34">
        <v>0</v>
      </c>
      <c r="N16" s="34" t="s">
        <v>473</v>
      </c>
      <c r="O16" s="35">
        <v>0</v>
      </c>
      <c r="P16" s="34" t="s">
        <v>473</v>
      </c>
    </row>
    <row r="17" spans="1:16" ht="14.65" thickBot="1">
      <c r="A17" s="4" t="s">
        <v>311</v>
      </c>
      <c r="B17" s="8">
        <v>3318</v>
      </c>
      <c r="C17" s="9">
        <v>31.4</v>
      </c>
      <c r="D17" s="21" t="s">
        <v>607</v>
      </c>
      <c r="E17" s="9">
        <v>27.7</v>
      </c>
      <c r="F17" s="21" t="s">
        <v>608</v>
      </c>
      <c r="G17" s="9">
        <v>3.1133490689745611</v>
      </c>
      <c r="H17" s="9" t="s">
        <v>602</v>
      </c>
      <c r="I17" s="9">
        <v>0.12289535798583792</v>
      </c>
      <c r="J17" s="9" t="s">
        <v>448</v>
      </c>
      <c r="K17" s="9">
        <v>2</v>
      </c>
      <c r="L17" s="21" t="s">
        <v>609</v>
      </c>
      <c r="M17" s="9">
        <v>1.7</v>
      </c>
      <c r="N17" s="21" t="s">
        <v>610</v>
      </c>
      <c r="O17" s="33">
        <v>0</v>
      </c>
      <c r="P17" s="21" t="s">
        <v>317</v>
      </c>
    </row>
    <row r="19" spans="1:16">
      <c r="A19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9"/>
  <dimension ref="A1:P18"/>
  <sheetViews>
    <sheetView workbookViewId="0">
      <selection activeCell="E1" sqref="E1:P1"/>
    </sheetView>
  </sheetViews>
  <sheetFormatPr defaultColWidth="10.7109375" defaultRowHeight="14.25"/>
  <cols>
    <col min="1" max="1" width="22.85546875" customWidth="1"/>
    <col min="8" max="8" width="12.5703125" customWidth="1"/>
    <col min="10" max="10" width="12.4257812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149</v>
      </c>
      <c r="B3" s="2">
        <v>25</v>
      </c>
      <c r="C3" s="2">
        <v>25</v>
      </c>
      <c r="D3" s="3">
        <f>(C3/B3)*100</f>
        <v>100</v>
      </c>
      <c r="E3" s="2">
        <v>23</v>
      </c>
      <c r="F3" s="3">
        <f>(E3/B3)*100</f>
        <v>92</v>
      </c>
      <c r="G3">
        <v>4</v>
      </c>
      <c r="H3" s="3">
        <f>(G3/B3)*100</f>
        <v>16</v>
      </c>
      <c r="I3">
        <v>0</v>
      </c>
      <c r="J3" s="3">
        <f>(I3/B3)*100</f>
        <v>0</v>
      </c>
      <c r="K3" s="2">
        <v>2</v>
      </c>
      <c r="L3" s="3">
        <f>(K3/B3)*100</f>
        <v>8</v>
      </c>
      <c r="M3" s="2">
        <v>0</v>
      </c>
      <c r="N3" s="3">
        <f>(M3/B3)*100</f>
        <v>0</v>
      </c>
      <c r="O3" s="2">
        <v>0</v>
      </c>
      <c r="P3">
        <f>(O3/B3)*100</f>
        <v>0</v>
      </c>
    </row>
    <row r="4" spans="1:16">
      <c r="A4" t="s">
        <v>171</v>
      </c>
      <c r="B4" s="2">
        <v>11</v>
      </c>
      <c r="C4" s="2">
        <v>11</v>
      </c>
      <c r="D4" s="3">
        <f t="shared" ref="D4:D16" si="0">(C4/B4)*100</f>
        <v>100</v>
      </c>
      <c r="E4" s="2">
        <v>10</v>
      </c>
      <c r="F4" s="3">
        <f t="shared" ref="F4:F16" si="1">(E4/B4)*100</f>
        <v>90.909090909090907</v>
      </c>
      <c r="G4">
        <v>2</v>
      </c>
      <c r="H4" s="3">
        <f t="shared" ref="H4:H14" si="2">(G4/B4)*100</f>
        <v>18.181818181818183</v>
      </c>
      <c r="I4">
        <v>0</v>
      </c>
      <c r="J4" s="3">
        <f t="shared" ref="J4:J14" si="3">(I4/B4)*100</f>
        <v>0</v>
      </c>
      <c r="K4" s="2">
        <v>1</v>
      </c>
      <c r="L4" s="3">
        <f t="shared" ref="L4:L16" si="4">(K4/B4)*100</f>
        <v>9.0909090909090917</v>
      </c>
      <c r="M4" s="2">
        <v>0</v>
      </c>
      <c r="N4" s="3">
        <f t="shared" ref="N4:N16" si="5">(M4/B4)*100</f>
        <v>0</v>
      </c>
      <c r="O4" s="2">
        <v>0</v>
      </c>
      <c r="P4">
        <f t="shared" ref="P4:P16" si="6">(O4/B4)*100</f>
        <v>0</v>
      </c>
    </row>
    <row r="5" spans="1:16">
      <c r="A5" t="s">
        <v>204</v>
      </c>
      <c r="B5" s="2">
        <v>9</v>
      </c>
      <c r="C5" s="2">
        <v>8</v>
      </c>
      <c r="D5" s="3">
        <f t="shared" si="0"/>
        <v>88.888888888888886</v>
      </c>
      <c r="E5" s="2">
        <v>5</v>
      </c>
      <c r="F5" s="3">
        <f t="shared" si="1"/>
        <v>55.555555555555557</v>
      </c>
      <c r="G5">
        <v>2</v>
      </c>
      <c r="H5" s="3">
        <f t="shared" si="2"/>
        <v>22.222222222222221</v>
      </c>
      <c r="I5">
        <v>0</v>
      </c>
      <c r="J5" s="3">
        <f t="shared" si="3"/>
        <v>0</v>
      </c>
      <c r="K5" s="2">
        <v>3</v>
      </c>
      <c r="L5" s="3">
        <f t="shared" si="4"/>
        <v>33.333333333333329</v>
      </c>
      <c r="M5" s="2">
        <v>0</v>
      </c>
      <c r="N5" s="3">
        <f t="shared" si="5"/>
        <v>0</v>
      </c>
      <c r="O5" s="2">
        <v>0</v>
      </c>
      <c r="P5">
        <f t="shared" si="6"/>
        <v>0</v>
      </c>
    </row>
    <row r="6" spans="1:16">
      <c r="A6" t="s">
        <v>128</v>
      </c>
      <c r="B6" s="2">
        <v>133</v>
      </c>
      <c r="C6" s="2">
        <v>133</v>
      </c>
      <c r="D6" s="3">
        <f t="shared" si="0"/>
        <v>100</v>
      </c>
      <c r="E6" s="2">
        <v>123</v>
      </c>
      <c r="F6" s="3">
        <f t="shared" si="1"/>
        <v>92.481203007518801</v>
      </c>
      <c r="H6" s="3"/>
      <c r="J6" s="3"/>
      <c r="K6" s="2">
        <v>10</v>
      </c>
      <c r="L6" s="3">
        <f t="shared" si="4"/>
        <v>7.518796992481203</v>
      </c>
      <c r="M6" s="2">
        <v>0</v>
      </c>
      <c r="N6" s="3">
        <f t="shared" si="5"/>
        <v>0</v>
      </c>
      <c r="O6" s="2">
        <v>0</v>
      </c>
      <c r="P6">
        <f t="shared" si="6"/>
        <v>0</v>
      </c>
    </row>
    <row r="7" spans="1:16">
      <c r="A7" t="s">
        <v>119</v>
      </c>
      <c r="B7" s="2">
        <v>58</v>
      </c>
      <c r="C7" s="2">
        <v>57</v>
      </c>
      <c r="D7" s="3">
        <f t="shared" si="0"/>
        <v>98.275862068965509</v>
      </c>
      <c r="E7" s="2">
        <v>41</v>
      </c>
      <c r="F7" s="3">
        <f t="shared" si="1"/>
        <v>70.689655172413794</v>
      </c>
      <c r="G7">
        <v>19</v>
      </c>
      <c r="H7" s="3">
        <f t="shared" si="2"/>
        <v>32.758620689655174</v>
      </c>
      <c r="I7">
        <v>0</v>
      </c>
      <c r="J7" s="3">
        <f t="shared" si="3"/>
        <v>0</v>
      </c>
      <c r="K7" s="2">
        <v>15</v>
      </c>
      <c r="L7" s="3">
        <f t="shared" si="4"/>
        <v>25.862068965517242</v>
      </c>
      <c r="M7" s="2">
        <v>1</v>
      </c>
      <c r="N7" s="3">
        <f t="shared" si="5"/>
        <v>1.7241379310344827</v>
      </c>
      <c r="O7" s="2">
        <v>0</v>
      </c>
      <c r="P7">
        <f t="shared" si="6"/>
        <v>0</v>
      </c>
    </row>
    <row r="8" spans="1:16">
      <c r="A8" t="s">
        <v>129</v>
      </c>
      <c r="B8" s="2">
        <v>14</v>
      </c>
      <c r="C8" s="2">
        <v>14</v>
      </c>
      <c r="D8" s="3">
        <f t="shared" si="0"/>
        <v>100</v>
      </c>
      <c r="E8" s="2">
        <v>13</v>
      </c>
      <c r="F8" s="3">
        <f t="shared" si="1"/>
        <v>92.857142857142861</v>
      </c>
      <c r="G8">
        <v>1</v>
      </c>
      <c r="H8" s="3">
        <f t="shared" si="2"/>
        <v>7.1428571428571423</v>
      </c>
      <c r="I8">
        <v>0</v>
      </c>
      <c r="J8" s="3">
        <f t="shared" si="3"/>
        <v>0</v>
      </c>
      <c r="K8" s="2">
        <v>1</v>
      </c>
      <c r="L8" s="3">
        <f t="shared" si="4"/>
        <v>7.1428571428571423</v>
      </c>
      <c r="M8" s="2">
        <v>0</v>
      </c>
      <c r="N8" s="3">
        <f t="shared" si="5"/>
        <v>0</v>
      </c>
      <c r="O8" s="2">
        <v>0</v>
      </c>
      <c r="P8">
        <f t="shared" si="6"/>
        <v>0</v>
      </c>
    </row>
    <row r="9" spans="1:16">
      <c r="A9" t="s">
        <v>120</v>
      </c>
      <c r="B9" s="2">
        <v>120</v>
      </c>
      <c r="C9" s="2">
        <v>116</v>
      </c>
      <c r="D9" s="3">
        <f t="shared" si="0"/>
        <v>96.666666666666671</v>
      </c>
      <c r="E9" s="2">
        <v>106</v>
      </c>
      <c r="F9" s="3">
        <f t="shared" si="1"/>
        <v>88.333333333333329</v>
      </c>
      <c r="H9" s="3"/>
      <c r="J9" s="3"/>
      <c r="K9" s="2">
        <v>10</v>
      </c>
      <c r="L9" s="3">
        <f t="shared" si="4"/>
        <v>8.3333333333333321</v>
      </c>
      <c r="M9" s="2">
        <v>0</v>
      </c>
      <c r="N9" s="3">
        <f t="shared" si="5"/>
        <v>0</v>
      </c>
      <c r="O9" s="2">
        <v>0</v>
      </c>
      <c r="P9">
        <f t="shared" si="6"/>
        <v>0</v>
      </c>
    </row>
    <row r="10" spans="1:16">
      <c r="A10" t="s">
        <v>123</v>
      </c>
      <c r="B10" s="2">
        <v>91</v>
      </c>
      <c r="C10" s="2">
        <v>90</v>
      </c>
      <c r="D10" s="3">
        <f t="shared" si="0"/>
        <v>98.901098901098905</v>
      </c>
      <c r="E10" s="2">
        <v>77</v>
      </c>
      <c r="F10" s="3">
        <f t="shared" si="1"/>
        <v>84.615384615384613</v>
      </c>
      <c r="G10">
        <v>8</v>
      </c>
      <c r="H10" s="3">
        <f t="shared" si="2"/>
        <v>8.791208791208792</v>
      </c>
      <c r="I10">
        <v>2</v>
      </c>
      <c r="J10" s="3">
        <f t="shared" si="3"/>
        <v>2.197802197802198</v>
      </c>
      <c r="K10" s="2">
        <v>10</v>
      </c>
      <c r="L10" s="3">
        <f t="shared" si="4"/>
        <v>10.989010989010989</v>
      </c>
      <c r="M10" s="2">
        <v>3</v>
      </c>
      <c r="N10" s="3">
        <f t="shared" si="5"/>
        <v>3.296703296703297</v>
      </c>
      <c r="O10" s="2">
        <v>0</v>
      </c>
      <c r="P10">
        <f t="shared" si="6"/>
        <v>0</v>
      </c>
    </row>
    <row r="11" spans="1:16">
      <c r="A11" t="s">
        <v>139</v>
      </c>
      <c r="B11" s="2">
        <v>140</v>
      </c>
      <c r="C11" s="2">
        <v>140</v>
      </c>
      <c r="D11" s="3">
        <f t="shared" si="0"/>
        <v>100</v>
      </c>
      <c r="E11" s="2">
        <v>129</v>
      </c>
      <c r="F11" s="3">
        <f t="shared" si="1"/>
        <v>92.142857142857139</v>
      </c>
      <c r="G11">
        <v>7</v>
      </c>
      <c r="H11" s="3">
        <f t="shared" si="2"/>
        <v>5</v>
      </c>
      <c r="I11">
        <v>0</v>
      </c>
      <c r="J11" s="3">
        <f t="shared" si="3"/>
        <v>0</v>
      </c>
      <c r="K11" s="2">
        <v>0</v>
      </c>
      <c r="L11" s="3">
        <f t="shared" si="4"/>
        <v>0</v>
      </c>
      <c r="M11" s="2">
        <v>11</v>
      </c>
      <c r="N11" s="3">
        <f t="shared" si="5"/>
        <v>7.8571428571428568</v>
      </c>
      <c r="O11" s="2">
        <v>0</v>
      </c>
      <c r="P11">
        <f t="shared" si="6"/>
        <v>0</v>
      </c>
    </row>
    <row r="12" spans="1:16">
      <c r="A12" t="s">
        <v>140</v>
      </c>
      <c r="B12" s="2">
        <v>70</v>
      </c>
      <c r="C12" s="2">
        <v>70</v>
      </c>
      <c r="D12" s="3">
        <f t="shared" si="0"/>
        <v>100</v>
      </c>
      <c r="E12" s="2">
        <v>33</v>
      </c>
      <c r="F12" s="3">
        <f t="shared" si="1"/>
        <v>47.142857142857139</v>
      </c>
      <c r="G12">
        <v>19</v>
      </c>
      <c r="H12" s="3">
        <f t="shared" si="2"/>
        <v>27.142857142857142</v>
      </c>
      <c r="I12">
        <v>0</v>
      </c>
      <c r="J12" s="3">
        <f t="shared" si="3"/>
        <v>0</v>
      </c>
      <c r="K12" s="2">
        <v>1</v>
      </c>
      <c r="L12" s="3">
        <f t="shared" si="4"/>
        <v>1.4285714285714286</v>
      </c>
      <c r="M12" s="2">
        <v>36</v>
      </c>
      <c r="N12" s="3">
        <f t="shared" si="5"/>
        <v>51.428571428571423</v>
      </c>
      <c r="O12" s="2">
        <v>0</v>
      </c>
      <c r="P12">
        <f t="shared" si="6"/>
        <v>0</v>
      </c>
    </row>
    <row r="13" spans="1:16" ht="14.65" thickBot="1">
      <c r="A13" s="5" t="s">
        <v>130</v>
      </c>
      <c r="B13" s="6">
        <v>357</v>
      </c>
      <c r="C13" s="6">
        <v>357</v>
      </c>
      <c r="D13" s="7">
        <f t="shared" si="0"/>
        <v>100</v>
      </c>
      <c r="E13" s="6">
        <v>348</v>
      </c>
      <c r="F13" s="7">
        <f t="shared" si="1"/>
        <v>97.47899159663865</v>
      </c>
      <c r="G13" s="5">
        <v>14</v>
      </c>
      <c r="H13" s="7">
        <f t="shared" si="2"/>
        <v>3.9215686274509802</v>
      </c>
      <c r="I13" s="5">
        <v>1</v>
      </c>
      <c r="J13" s="7">
        <f t="shared" si="3"/>
        <v>0.28011204481792717</v>
      </c>
      <c r="K13" s="6">
        <v>3</v>
      </c>
      <c r="L13" s="7">
        <f t="shared" si="4"/>
        <v>0.84033613445378152</v>
      </c>
      <c r="M13" s="6">
        <v>6</v>
      </c>
      <c r="N13" s="7">
        <f t="shared" si="5"/>
        <v>1.680672268907563</v>
      </c>
      <c r="O13" s="6">
        <v>0</v>
      </c>
      <c r="P13" s="5">
        <f t="shared" si="6"/>
        <v>0</v>
      </c>
    </row>
    <row r="14" spans="1:16" ht="14.65" thickBot="1">
      <c r="A14" s="4" t="s">
        <v>611</v>
      </c>
      <c r="B14" s="8">
        <f>SUM(B3:B13)</f>
        <v>1028</v>
      </c>
      <c r="C14" s="8">
        <f>SUM(C3:C13)</f>
        <v>1021</v>
      </c>
      <c r="D14" s="9">
        <f t="shared" si="0"/>
        <v>99.319066147859928</v>
      </c>
      <c r="E14" s="8">
        <f>SUM(E3:E13)</f>
        <v>908</v>
      </c>
      <c r="F14" s="9">
        <f t="shared" si="1"/>
        <v>88.326848249027236</v>
      </c>
      <c r="G14" s="4">
        <f>SUM(G3:G13)</f>
        <v>76</v>
      </c>
      <c r="H14" s="9">
        <f t="shared" si="2"/>
        <v>7.3929961089494167</v>
      </c>
      <c r="I14" s="4">
        <f>SUM(I3:I13)</f>
        <v>3</v>
      </c>
      <c r="J14" s="9">
        <f t="shared" si="3"/>
        <v>0.29182879377431908</v>
      </c>
      <c r="K14" s="8">
        <f>SUM(K3:K13)</f>
        <v>56</v>
      </c>
      <c r="L14" s="9">
        <f t="shared" si="4"/>
        <v>5.4474708171206228</v>
      </c>
      <c r="M14" s="8">
        <f>SUM(M3:M13)</f>
        <v>57</v>
      </c>
      <c r="N14" s="9">
        <f t="shared" si="5"/>
        <v>5.5447470817120621</v>
      </c>
      <c r="O14" s="8">
        <f>SUM(O3:O13)</f>
        <v>0</v>
      </c>
      <c r="P14" s="4">
        <f t="shared" si="6"/>
        <v>0</v>
      </c>
    </row>
    <row r="15" spans="1:16" ht="14.65" thickBot="1">
      <c r="A15" s="35" t="s">
        <v>437</v>
      </c>
      <c r="B15" s="36">
        <v>11</v>
      </c>
      <c r="C15" s="36">
        <v>11</v>
      </c>
      <c r="D15" s="34">
        <f t="shared" si="0"/>
        <v>100</v>
      </c>
      <c r="E15" s="36">
        <v>2</v>
      </c>
      <c r="F15" s="34">
        <f t="shared" si="1"/>
        <v>18.181818181818183</v>
      </c>
      <c r="G15" s="35"/>
      <c r="H15" s="35"/>
      <c r="I15" s="35"/>
      <c r="J15" s="35"/>
      <c r="K15" s="36">
        <v>9</v>
      </c>
      <c r="L15" s="34">
        <f t="shared" si="4"/>
        <v>81.818181818181827</v>
      </c>
      <c r="M15" s="36">
        <v>0</v>
      </c>
      <c r="N15" s="34">
        <f t="shared" si="5"/>
        <v>0</v>
      </c>
      <c r="O15" s="36">
        <v>0</v>
      </c>
      <c r="P15" s="35">
        <f t="shared" si="6"/>
        <v>0</v>
      </c>
    </row>
    <row r="16" spans="1:16" ht="14.65" thickBot="1">
      <c r="A16" s="4" t="s">
        <v>311</v>
      </c>
      <c r="B16" s="8">
        <v>1039</v>
      </c>
      <c r="C16" s="8">
        <v>1032</v>
      </c>
      <c r="D16" s="9">
        <f t="shared" si="0"/>
        <v>99.326275264677577</v>
      </c>
      <c r="E16" s="8">
        <v>910</v>
      </c>
      <c r="F16" s="9">
        <f t="shared" si="1"/>
        <v>87.58421559191531</v>
      </c>
      <c r="G16" s="4">
        <v>76</v>
      </c>
      <c r="H16" s="9">
        <f t="shared" ref="H16" si="7">(G16/B16)*100</f>
        <v>7.3147256977863329</v>
      </c>
      <c r="I16" s="4">
        <v>3</v>
      </c>
      <c r="J16" s="9">
        <f t="shared" ref="J16" si="8">(I16/B16)*100</f>
        <v>0.28873917228103946</v>
      </c>
      <c r="K16" s="8">
        <v>65</v>
      </c>
      <c r="L16" s="9">
        <f t="shared" si="4"/>
        <v>6.2560153994225223</v>
      </c>
      <c r="M16" s="8">
        <v>57</v>
      </c>
      <c r="N16" s="9">
        <f t="shared" si="5"/>
        <v>5.4860442733397496</v>
      </c>
      <c r="O16" s="8">
        <v>0</v>
      </c>
      <c r="P16" s="4">
        <f t="shared" si="6"/>
        <v>0</v>
      </c>
    </row>
    <row r="18" spans="1:1">
      <c r="A18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24"/>
  <dimension ref="A1:Q14"/>
  <sheetViews>
    <sheetView workbookViewId="0">
      <selection activeCell="Q2" sqref="Q2"/>
    </sheetView>
  </sheetViews>
  <sheetFormatPr defaultColWidth="11.42578125" defaultRowHeight="14.25"/>
  <cols>
    <col min="1" max="1" width="18.42578125" customWidth="1"/>
  </cols>
  <sheetData>
    <row r="1" spans="1:17" ht="14.65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1" t="s">
        <v>107</v>
      </c>
      <c r="G1" s="61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4.65" thickBot="1">
      <c r="A2" s="64"/>
      <c r="B2" s="64"/>
      <c r="C2" s="64"/>
      <c r="D2" s="4" t="s">
        <v>69</v>
      </c>
      <c r="E2" s="4" t="s">
        <v>87</v>
      </c>
      <c r="F2" s="4" t="s">
        <v>69</v>
      </c>
      <c r="G2" s="4" t="s">
        <v>87</v>
      </c>
      <c r="H2" s="4" t="s">
        <v>69</v>
      </c>
      <c r="I2" s="4" t="s">
        <v>87</v>
      </c>
      <c r="J2" s="4" t="s">
        <v>69</v>
      </c>
      <c r="K2" s="4" t="s">
        <v>87</v>
      </c>
      <c r="L2" s="4" t="s">
        <v>69</v>
      </c>
      <c r="M2" s="4" t="s">
        <v>87</v>
      </c>
      <c r="N2" s="4" t="s">
        <v>69</v>
      </c>
      <c r="O2" s="4" t="s">
        <v>87</v>
      </c>
      <c r="P2" s="4" t="s">
        <v>69</v>
      </c>
      <c r="Q2" s="4" t="s">
        <v>87</v>
      </c>
    </row>
    <row r="3" spans="1:17" ht="14.65" thickBot="1">
      <c r="A3" s="62" t="s">
        <v>612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>
      <c r="A4" t="s">
        <v>171</v>
      </c>
      <c r="B4">
        <v>37</v>
      </c>
      <c r="C4" s="2">
        <v>1</v>
      </c>
      <c r="D4" s="2">
        <v>1</v>
      </c>
      <c r="E4" s="3">
        <f>(D4/B4)*100</f>
        <v>2.7027027027027026</v>
      </c>
      <c r="F4" s="2">
        <v>1</v>
      </c>
      <c r="G4" s="3">
        <f>(F4/B4)*100</f>
        <v>2.7027027027027026</v>
      </c>
      <c r="H4" s="2">
        <v>0</v>
      </c>
      <c r="I4">
        <f>(H4/B4)*100</f>
        <v>0</v>
      </c>
      <c r="J4">
        <v>0</v>
      </c>
      <c r="K4">
        <f>(J4/B4)*100</f>
        <v>0</v>
      </c>
      <c r="L4" s="2">
        <v>0</v>
      </c>
      <c r="M4">
        <f>(L4/B4)*100</f>
        <v>0</v>
      </c>
      <c r="N4" s="2">
        <v>0</v>
      </c>
      <c r="O4">
        <f>(N4/B4)*100</f>
        <v>0</v>
      </c>
      <c r="P4" s="2">
        <v>0</v>
      </c>
      <c r="Q4">
        <f>(P4/B4)*100</f>
        <v>0</v>
      </c>
    </row>
    <row r="5" spans="1:17">
      <c r="A5" t="s">
        <v>128</v>
      </c>
      <c r="B5">
        <v>31</v>
      </c>
      <c r="C5" s="2">
        <v>2</v>
      </c>
      <c r="D5" s="2">
        <v>2</v>
      </c>
      <c r="E5" s="3">
        <f t="shared" ref="E5:E9" si="0">(D5/B5)*100</f>
        <v>6.4516129032258061</v>
      </c>
      <c r="F5" s="2">
        <v>2</v>
      </c>
      <c r="G5" s="3">
        <f t="shared" ref="G5:G9" si="1">(F5/B5)*100</f>
        <v>6.4516129032258061</v>
      </c>
      <c r="L5" s="2">
        <v>0</v>
      </c>
      <c r="M5">
        <f t="shared" ref="M5:M9" si="2">(L5/B5)*100</f>
        <v>0</v>
      </c>
      <c r="N5" s="2">
        <v>0</v>
      </c>
      <c r="O5">
        <f t="shared" ref="O5:O9" si="3">(N5/B5)*100</f>
        <v>0</v>
      </c>
      <c r="P5" s="2">
        <v>0</v>
      </c>
      <c r="Q5">
        <f t="shared" ref="Q5:Q9" si="4">(P5/B5)*100</f>
        <v>0</v>
      </c>
    </row>
    <row r="6" spans="1:17">
      <c r="A6" t="s">
        <v>116</v>
      </c>
      <c r="B6">
        <v>32</v>
      </c>
      <c r="C6" s="2">
        <v>1</v>
      </c>
      <c r="D6" s="2">
        <v>0</v>
      </c>
      <c r="E6" s="3">
        <f t="shared" si="0"/>
        <v>0</v>
      </c>
      <c r="F6" s="2">
        <v>0</v>
      </c>
      <c r="G6" s="39">
        <f t="shared" si="1"/>
        <v>0</v>
      </c>
      <c r="H6" s="2">
        <v>0</v>
      </c>
      <c r="I6">
        <f t="shared" ref="I6:I9" si="5">(H6/B6)*100</f>
        <v>0</v>
      </c>
      <c r="J6">
        <v>0</v>
      </c>
      <c r="K6">
        <f t="shared" ref="K6:K9" si="6">(J6/B6)*100</f>
        <v>0</v>
      </c>
      <c r="L6" s="2">
        <v>0</v>
      </c>
      <c r="M6">
        <f t="shared" si="2"/>
        <v>0</v>
      </c>
      <c r="N6" s="2">
        <v>0</v>
      </c>
      <c r="O6">
        <f t="shared" si="3"/>
        <v>0</v>
      </c>
      <c r="P6" s="2">
        <v>0</v>
      </c>
      <c r="Q6">
        <f t="shared" si="4"/>
        <v>0</v>
      </c>
    </row>
    <row r="7" spans="1:17">
      <c r="A7" t="s">
        <v>121</v>
      </c>
      <c r="B7">
        <v>77</v>
      </c>
      <c r="C7" s="2">
        <v>1</v>
      </c>
      <c r="D7" s="2">
        <v>1</v>
      </c>
      <c r="E7" s="3">
        <f t="shared" si="0"/>
        <v>1.2987012987012987</v>
      </c>
      <c r="F7" s="2">
        <v>1</v>
      </c>
      <c r="G7" s="3">
        <f t="shared" si="1"/>
        <v>1.2987012987012987</v>
      </c>
      <c r="H7" s="2">
        <v>0</v>
      </c>
      <c r="I7">
        <f t="shared" si="5"/>
        <v>0</v>
      </c>
      <c r="J7">
        <v>0</v>
      </c>
      <c r="K7">
        <f t="shared" si="6"/>
        <v>0</v>
      </c>
      <c r="L7" s="2">
        <v>0</v>
      </c>
      <c r="M7">
        <f t="shared" si="2"/>
        <v>0</v>
      </c>
      <c r="N7" s="2">
        <v>0</v>
      </c>
      <c r="O7">
        <f t="shared" si="3"/>
        <v>0</v>
      </c>
      <c r="P7" s="2">
        <v>0</v>
      </c>
      <c r="Q7">
        <f t="shared" si="4"/>
        <v>0</v>
      </c>
    </row>
    <row r="8" spans="1:17" ht="14.65" thickBot="1">
      <c r="A8" s="5" t="s">
        <v>140</v>
      </c>
      <c r="B8" s="5">
        <v>137</v>
      </c>
      <c r="C8" s="6">
        <v>8</v>
      </c>
      <c r="D8" s="6">
        <v>8</v>
      </c>
      <c r="E8" s="7">
        <f t="shared" si="0"/>
        <v>5.8394160583941606</v>
      </c>
      <c r="F8" s="6">
        <v>7</v>
      </c>
      <c r="G8" s="7">
        <f t="shared" si="1"/>
        <v>5.1094890510948909</v>
      </c>
      <c r="H8" s="6">
        <v>0</v>
      </c>
      <c r="I8" s="5">
        <f t="shared" si="5"/>
        <v>0</v>
      </c>
      <c r="J8" s="5">
        <v>0</v>
      </c>
      <c r="K8" s="5">
        <f t="shared" si="6"/>
        <v>0</v>
      </c>
      <c r="L8" s="6">
        <v>0</v>
      </c>
      <c r="M8" s="5">
        <f t="shared" si="2"/>
        <v>0</v>
      </c>
      <c r="N8" s="6">
        <v>1</v>
      </c>
      <c r="O8" s="7">
        <f t="shared" si="3"/>
        <v>0.72992700729927007</v>
      </c>
      <c r="P8" s="6">
        <v>0</v>
      </c>
      <c r="Q8" s="5">
        <f t="shared" si="4"/>
        <v>0</v>
      </c>
    </row>
    <row r="9" spans="1:17" ht="14.65" thickBot="1">
      <c r="A9" s="37" t="s">
        <v>124</v>
      </c>
      <c r="B9" s="37">
        <f>SUM(B4:B8)</f>
        <v>314</v>
      </c>
      <c r="C9" s="41">
        <f>SUM(C4:C8)</f>
        <v>13</v>
      </c>
      <c r="D9" s="41">
        <f t="shared" ref="D9:P9" si="7">SUM(D4:D8)</f>
        <v>12</v>
      </c>
      <c r="E9" s="38">
        <f t="shared" si="0"/>
        <v>3.8216560509554141</v>
      </c>
      <c r="F9" s="41">
        <f t="shared" si="7"/>
        <v>11</v>
      </c>
      <c r="G9" s="38">
        <f t="shared" si="1"/>
        <v>3.5031847133757963</v>
      </c>
      <c r="H9" s="41">
        <f>SUM(H4:H8)</f>
        <v>0</v>
      </c>
      <c r="I9" s="37">
        <f t="shared" si="5"/>
        <v>0</v>
      </c>
      <c r="J9" s="41">
        <f>SUM(J4:J8)</f>
        <v>0</v>
      </c>
      <c r="K9" s="37">
        <f t="shared" si="6"/>
        <v>0</v>
      </c>
      <c r="L9" s="41">
        <f t="shared" si="7"/>
        <v>0</v>
      </c>
      <c r="M9" s="37">
        <f t="shared" si="2"/>
        <v>0</v>
      </c>
      <c r="N9" s="41">
        <f t="shared" si="7"/>
        <v>1</v>
      </c>
      <c r="O9" s="38">
        <f t="shared" si="3"/>
        <v>0.31847133757961787</v>
      </c>
      <c r="P9" s="41">
        <f t="shared" si="7"/>
        <v>0</v>
      </c>
      <c r="Q9" s="37">
        <f t="shared" si="4"/>
        <v>0</v>
      </c>
    </row>
    <row r="10" spans="1:17" ht="14.65" thickBot="1">
      <c r="A10" s="62" t="s">
        <v>613</v>
      </c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4.65" thickBot="1">
      <c r="A11" s="35" t="s">
        <v>139</v>
      </c>
      <c r="B11" s="35">
        <v>13</v>
      </c>
      <c r="C11" s="35">
        <v>1</v>
      </c>
      <c r="D11" s="35">
        <v>1</v>
      </c>
      <c r="E11" s="34">
        <f>(D11/B11)*100</f>
        <v>7.6923076923076925</v>
      </c>
      <c r="F11" s="35">
        <v>1</v>
      </c>
      <c r="G11" s="34">
        <f>(F11/B11)*100</f>
        <v>7.6923076923076925</v>
      </c>
      <c r="H11" s="35">
        <v>0</v>
      </c>
      <c r="I11" s="35">
        <v>0</v>
      </c>
      <c r="J11" s="35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</row>
    <row r="12" spans="1:17" ht="14.65" thickBot="1">
      <c r="A12" s="37" t="s">
        <v>126</v>
      </c>
      <c r="B12" s="37">
        <v>13</v>
      </c>
      <c r="C12" s="37">
        <v>1</v>
      </c>
      <c r="D12" s="37">
        <v>1</v>
      </c>
      <c r="E12" s="38">
        <f>(D12/B12)*100</f>
        <v>7.6923076923076925</v>
      </c>
      <c r="F12" s="37">
        <v>1</v>
      </c>
      <c r="G12" s="38">
        <f>(F12/B12)*100</f>
        <v>7.6923076923076925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</row>
    <row r="14" spans="1:17">
      <c r="A14" t="s">
        <v>133</v>
      </c>
    </row>
  </sheetData>
  <mergeCells count="12">
    <mergeCell ref="A10:Q10"/>
    <mergeCell ref="A1:A2"/>
    <mergeCell ref="B1:B2"/>
    <mergeCell ref="C1:C2"/>
    <mergeCell ref="D1:E1"/>
    <mergeCell ref="F1:G1"/>
    <mergeCell ref="H1:I1"/>
    <mergeCell ref="J1:K1"/>
    <mergeCell ref="L1:M1"/>
    <mergeCell ref="N1:O1"/>
    <mergeCell ref="P1:Q1"/>
    <mergeCell ref="A3:Q3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25"/>
  <dimension ref="A1:Q28"/>
  <sheetViews>
    <sheetView workbookViewId="0">
      <selection activeCell="R31" sqref="R31"/>
    </sheetView>
  </sheetViews>
  <sheetFormatPr defaultColWidth="11.42578125" defaultRowHeight="14.25"/>
  <cols>
    <col min="1" max="1" width="22.140625" customWidth="1"/>
    <col min="2" max="2" width="11.42578125" customWidth="1"/>
  </cols>
  <sheetData>
    <row r="1" spans="1:17" ht="14.65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1" t="s">
        <v>107</v>
      </c>
      <c r="G1" s="61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4.65" thickBot="1">
      <c r="A2" s="64"/>
      <c r="B2" s="64"/>
      <c r="C2" s="64"/>
      <c r="D2" s="4" t="s">
        <v>69</v>
      </c>
      <c r="E2" s="4" t="s">
        <v>87</v>
      </c>
      <c r="F2" s="4" t="s">
        <v>69</v>
      </c>
      <c r="G2" s="4" t="s">
        <v>87</v>
      </c>
      <c r="H2" s="4" t="s">
        <v>69</v>
      </c>
      <c r="I2" s="4" t="s">
        <v>87</v>
      </c>
      <c r="J2" s="4" t="s">
        <v>69</v>
      </c>
      <c r="K2" s="4" t="s">
        <v>87</v>
      </c>
      <c r="L2" s="4" t="s">
        <v>69</v>
      </c>
      <c r="M2" s="4" t="s">
        <v>87</v>
      </c>
      <c r="N2" s="4" t="s">
        <v>69</v>
      </c>
      <c r="O2" s="4" t="s">
        <v>87</v>
      </c>
      <c r="P2" s="4" t="s">
        <v>69</v>
      </c>
      <c r="Q2" s="4" t="s">
        <v>87</v>
      </c>
    </row>
    <row r="3" spans="1:17">
      <c r="A3" t="s">
        <v>149</v>
      </c>
      <c r="B3">
        <v>172</v>
      </c>
      <c r="C3" s="2">
        <v>4</v>
      </c>
      <c r="D3" s="2">
        <v>3</v>
      </c>
      <c r="E3" s="3">
        <f>(D3/B3)*100</f>
        <v>1.7441860465116279</v>
      </c>
      <c r="F3" s="2">
        <v>3</v>
      </c>
      <c r="G3" s="3">
        <f>(F3/B3)*100</f>
        <v>1.7441860465116279</v>
      </c>
      <c r="H3" s="2">
        <v>0</v>
      </c>
      <c r="I3" s="3">
        <f>(H3/B3)*100</f>
        <v>0</v>
      </c>
      <c r="J3">
        <v>0</v>
      </c>
      <c r="K3">
        <f>(J3/B3)*100</f>
        <v>0</v>
      </c>
      <c r="L3" s="2">
        <v>0</v>
      </c>
      <c r="M3" s="39">
        <f>(L3/B3)*100</f>
        <v>0</v>
      </c>
      <c r="N3" s="2">
        <v>0</v>
      </c>
      <c r="O3">
        <f>(N3/B3)*100</f>
        <v>0</v>
      </c>
      <c r="P3" s="2">
        <v>0</v>
      </c>
      <c r="Q3">
        <f>(P3/B3)*100</f>
        <v>0</v>
      </c>
    </row>
    <row r="4" spans="1:17">
      <c r="A4" t="s">
        <v>171</v>
      </c>
      <c r="B4">
        <v>84</v>
      </c>
      <c r="C4" s="2">
        <v>2</v>
      </c>
      <c r="D4" s="2">
        <v>2</v>
      </c>
      <c r="E4" s="3">
        <f t="shared" ref="E4:E26" si="0">(D4/B4)*100</f>
        <v>2.3809523809523809</v>
      </c>
      <c r="F4" s="2">
        <v>1</v>
      </c>
      <c r="G4" s="3">
        <f t="shared" ref="G4:G26" si="1">(F4/B4)*100</f>
        <v>1.1904761904761905</v>
      </c>
      <c r="H4" s="2">
        <v>0</v>
      </c>
      <c r="I4" s="3">
        <f t="shared" ref="I4:I26" si="2">(H4/B4)*100</f>
        <v>0</v>
      </c>
      <c r="J4">
        <v>0</v>
      </c>
      <c r="K4">
        <f t="shared" ref="K4:K26" si="3">(J4/B4)*100</f>
        <v>0</v>
      </c>
      <c r="L4" s="2">
        <v>1</v>
      </c>
      <c r="M4" s="3">
        <f t="shared" ref="M4:M26" si="4">(L4/B4)*100</f>
        <v>1.1904761904761905</v>
      </c>
      <c r="N4" s="2">
        <v>0</v>
      </c>
      <c r="O4">
        <f t="shared" ref="O4:O26" si="5">(N4/B4)*100</f>
        <v>0</v>
      </c>
      <c r="P4" s="2">
        <v>0</v>
      </c>
      <c r="Q4">
        <f t="shared" ref="Q4:Q26" si="6">(P4/B4)*100</f>
        <v>0</v>
      </c>
    </row>
    <row r="5" spans="1:17">
      <c r="A5" t="s">
        <v>135</v>
      </c>
      <c r="B5">
        <v>32</v>
      </c>
      <c r="C5" s="2">
        <v>4</v>
      </c>
      <c r="D5" s="2">
        <v>4</v>
      </c>
      <c r="E5" s="3">
        <f t="shared" si="0"/>
        <v>12.5</v>
      </c>
      <c r="F5" s="2">
        <v>4</v>
      </c>
      <c r="G5" s="3">
        <f t="shared" si="1"/>
        <v>12.5</v>
      </c>
      <c r="H5" s="2">
        <v>1</v>
      </c>
      <c r="I5" s="3">
        <f t="shared" si="2"/>
        <v>3.125</v>
      </c>
      <c r="J5">
        <v>0</v>
      </c>
      <c r="K5">
        <f t="shared" si="3"/>
        <v>0</v>
      </c>
      <c r="L5" s="2">
        <v>0</v>
      </c>
      <c r="M5" s="39">
        <f t="shared" si="4"/>
        <v>0</v>
      </c>
      <c r="N5" s="2">
        <v>0</v>
      </c>
      <c r="O5">
        <f t="shared" si="5"/>
        <v>0</v>
      </c>
      <c r="P5" s="2">
        <v>0</v>
      </c>
      <c r="Q5">
        <f t="shared" si="6"/>
        <v>0</v>
      </c>
    </row>
    <row r="6" spans="1:17">
      <c r="A6" t="s">
        <v>614</v>
      </c>
      <c r="B6">
        <v>180</v>
      </c>
      <c r="C6" s="2">
        <v>7</v>
      </c>
      <c r="D6" s="2">
        <v>7</v>
      </c>
      <c r="E6" s="3">
        <f t="shared" si="0"/>
        <v>3.8888888888888888</v>
      </c>
      <c r="F6" s="2">
        <v>4</v>
      </c>
      <c r="G6" s="3">
        <f t="shared" si="1"/>
        <v>2.2222222222222223</v>
      </c>
      <c r="H6" s="2">
        <v>1</v>
      </c>
      <c r="I6" s="3">
        <f t="shared" si="2"/>
        <v>0.55555555555555558</v>
      </c>
      <c r="J6">
        <v>0</v>
      </c>
      <c r="K6">
        <f t="shared" si="3"/>
        <v>0</v>
      </c>
      <c r="L6" s="2">
        <v>3</v>
      </c>
      <c r="M6" s="3">
        <f t="shared" si="4"/>
        <v>1.6666666666666667</v>
      </c>
      <c r="N6" s="2">
        <v>0</v>
      </c>
      <c r="O6">
        <f t="shared" si="5"/>
        <v>0</v>
      </c>
      <c r="P6" s="2">
        <v>0</v>
      </c>
      <c r="Q6">
        <f t="shared" si="6"/>
        <v>0</v>
      </c>
    </row>
    <row r="7" spans="1:17">
      <c r="A7" t="s">
        <v>136</v>
      </c>
      <c r="B7">
        <v>172</v>
      </c>
      <c r="C7" s="2">
        <v>2</v>
      </c>
      <c r="D7" s="2">
        <v>1</v>
      </c>
      <c r="E7" s="3">
        <f t="shared" si="0"/>
        <v>0.58139534883720934</v>
      </c>
      <c r="F7" s="2">
        <v>0</v>
      </c>
      <c r="G7" s="39">
        <f t="shared" si="1"/>
        <v>0</v>
      </c>
      <c r="H7" s="2">
        <v>0</v>
      </c>
      <c r="I7" s="39">
        <f t="shared" si="2"/>
        <v>0</v>
      </c>
      <c r="J7">
        <v>0</v>
      </c>
      <c r="K7">
        <f t="shared" si="3"/>
        <v>0</v>
      </c>
      <c r="L7" s="2">
        <v>1</v>
      </c>
      <c r="M7" s="3">
        <f t="shared" si="4"/>
        <v>0.58139534883720934</v>
      </c>
      <c r="N7" s="2">
        <v>0</v>
      </c>
      <c r="O7">
        <f t="shared" si="5"/>
        <v>0</v>
      </c>
      <c r="P7" s="2">
        <v>0</v>
      </c>
      <c r="Q7">
        <f t="shared" si="6"/>
        <v>0</v>
      </c>
    </row>
    <row r="8" spans="1:17">
      <c r="A8" t="s">
        <v>137</v>
      </c>
      <c r="B8">
        <v>151</v>
      </c>
      <c r="C8" s="2">
        <v>1</v>
      </c>
      <c r="D8" s="2">
        <v>0</v>
      </c>
      <c r="E8" s="39">
        <f t="shared" si="0"/>
        <v>0</v>
      </c>
      <c r="F8" s="2">
        <v>0</v>
      </c>
      <c r="G8" s="39">
        <f t="shared" si="1"/>
        <v>0</v>
      </c>
      <c r="H8" s="2">
        <v>0</v>
      </c>
      <c r="I8" s="39">
        <f t="shared" si="2"/>
        <v>0</v>
      </c>
      <c r="J8">
        <v>0</v>
      </c>
      <c r="K8">
        <f t="shared" si="3"/>
        <v>0</v>
      </c>
      <c r="L8" s="2">
        <v>0</v>
      </c>
      <c r="M8" s="39">
        <f t="shared" si="4"/>
        <v>0</v>
      </c>
      <c r="N8" s="2">
        <v>0</v>
      </c>
      <c r="O8">
        <f t="shared" si="5"/>
        <v>0</v>
      </c>
      <c r="P8" s="2">
        <v>0</v>
      </c>
      <c r="Q8">
        <f t="shared" si="6"/>
        <v>0</v>
      </c>
    </row>
    <row r="9" spans="1:17">
      <c r="A9" t="s">
        <v>615</v>
      </c>
      <c r="B9">
        <v>170</v>
      </c>
      <c r="C9" s="2">
        <v>1</v>
      </c>
      <c r="D9" s="2">
        <v>0</v>
      </c>
      <c r="E9" s="39">
        <f t="shared" si="0"/>
        <v>0</v>
      </c>
      <c r="F9" s="2">
        <v>0</v>
      </c>
      <c r="G9" s="39">
        <f t="shared" si="1"/>
        <v>0</v>
      </c>
      <c r="H9" s="2">
        <v>0</v>
      </c>
      <c r="I9" s="39">
        <f t="shared" si="2"/>
        <v>0</v>
      </c>
      <c r="J9">
        <v>0</v>
      </c>
      <c r="K9">
        <f t="shared" si="3"/>
        <v>0</v>
      </c>
      <c r="L9" s="2">
        <v>0</v>
      </c>
      <c r="M9" s="39">
        <f t="shared" si="4"/>
        <v>0</v>
      </c>
      <c r="N9" s="2">
        <v>0</v>
      </c>
      <c r="O9">
        <f t="shared" si="5"/>
        <v>0</v>
      </c>
      <c r="P9" s="2">
        <v>0</v>
      </c>
      <c r="Q9">
        <f t="shared" si="6"/>
        <v>0</v>
      </c>
    </row>
    <row r="10" spans="1:17">
      <c r="A10" t="s">
        <v>128</v>
      </c>
      <c r="B10">
        <v>195</v>
      </c>
      <c r="C10" s="2">
        <v>2</v>
      </c>
      <c r="D10" s="2">
        <v>2</v>
      </c>
      <c r="E10" s="3">
        <f t="shared" si="0"/>
        <v>1.0256410256410255</v>
      </c>
      <c r="F10" s="2">
        <v>1</v>
      </c>
      <c r="G10" s="3">
        <f t="shared" si="1"/>
        <v>0.51282051282051277</v>
      </c>
      <c r="I10" s="3"/>
      <c r="L10" s="2">
        <v>1</v>
      </c>
      <c r="M10" s="3">
        <f t="shared" si="4"/>
        <v>0.51282051282051277</v>
      </c>
      <c r="N10" s="2">
        <v>0</v>
      </c>
      <c r="O10">
        <f t="shared" si="5"/>
        <v>0</v>
      </c>
      <c r="P10" s="2">
        <v>0</v>
      </c>
      <c r="Q10">
        <f t="shared" si="6"/>
        <v>0</v>
      </c>
    </row>
    <row r="11" spans="1:17">
      <c r="A11" t="s">
        <v>138</v>
      </c>
      <c r="B11">
        <v>68</v>
      </c>
      <c r="C11" s="2">
        <v>1</v>
      </c>
      <c r="D11" s="2">
        <v>1</v>
      </c>
      <c r="E11" s="3">
        <f t="shared" si="0"/>
        <v>1.4705882352941175</v>
      </c>
      <c r="F11" s="2">
        <v>1</v>
      </c>
      <c r="G11" s="3">
        <f t="shared" si="1"/>
        <v>1.4705882352941175</v>
      </c>
      <c r="H11" s="2">
        <v>0</v>
      </c>
      <c r="I11" s="39">
        <f t="shared" si="2"/>
        <v>0</v>
      </c>
      <c r="J11">
        <v>0</v>
      </c>
      <c r="K11">
        <f t="shared" si="3"/>
        <v>0</v>
      </c>
      <c r="L11" s="2">
        <v>0</v>
      </c>
      <c r="M11" s="39">
        <f t="shared" si="4"/>
        <v>0</v>
      </c>
      <c r="N11" s="2">
        <v>0</v>
      </c>
      <c r="O11">
        <f t="shared" si="5"/>
        <v>0</v>
      </c>
      <c r="P11" s="2">
        <v>0</v>
      </c>
      <c r="Q11">
        <f t="shared" si="6"/>
        <v>0</v>
      </c>
    </row>
    <row r="12" spans="1:17">
      <c r="A12" t="s">
        <v>119</v>
      </c>
      <c r="B12">
        <v>170</v>
      </c>
      <c r="C12" s="2">
        <v>2</v>
      </c>
      <c r="D12" s="2">
        <v>1</v>
      </c>
      <c r="E12" s="3">
        <f t="shared" si="0"/>
        <v>0.58823529411764708</v>
      </c>
      <c r="F12" s="2">
        <v>0</v>
      </c>
      <c r="G12" s="39">
        <f t="shared" si="1"/>
        <v>0</v>
      </c>
      <c r="H12" s="2">
        <v>0</v>
      </c>
      <c r="I12" s="39">
        <f t="shared" si="2"/>
        <v>0</v>
      </c>
      <c r="J12">
        <v>0</v>
      </c>
      <c r="K12">
        <f t="shared" si="3"/>
        <v>0</v>
      </c>
      <c r="L12" s="2">
        <v>1</v>
      </c>
      <c r="M12" s="3">
        <f t="shared" si="4"/>
        <v>0.58823529411764708</v>
      </c>
      <c r="N12" s="2">
        <v>0</v>
      </c>
      <c r="O12">
        <f t="shared" si="5"/>
        <v>0</v>
      </c>
      <c r="P12" s="2">
        <v>0</v>
      </c>
      <c r="Q12">
        <f t="shared" si="6"/>
        <v>0</v>
      </c>
    </row>
    <row r="13" spans="1:17">
      <c r="A13" t="s">
        <v>129</v>
      </c>
      <c r="B13">
        <v>170</v>
      </c>
      <c r="C13" s="2">
        <v>1</v>
      </c>
      <c r="D13" s="2">
        <v>0</v>
      </c>
      <c r="E13" s="39">
        <f t="shared" si="0"/>
        <v>0</v>
      </c>
      <c r="F13" s="2">
        <v>0</v>
      </c>
      <c r="G13" s="39">
        <f t="shared" si="1"/>
        <v>0</v>
      </c>
      <c r="H13" s="2">
        <v>0</v>
      </c>
      <c r="I13" s="39">
        <f t="shared" si="2"/>
        <v>0</v>
      </c>
      <c r="J13">
        <v>0</v>
      </c>
      <c r="K13">
        <f t="shared" si="3"/>
        <v>0</v>
      </c>
      <c r="L13" s="2">
        <v>0</v>
      </c>
      <c r="M13" s="39">
        <f t="shared" si="4"/>
        <v>0</v>
      </c>
      <c r="N13" s="2">
        <v>0</v>
      </c>
      <c r="O13">
        <f t="shared" si="5"/>
        <v>0</v>
      </c>
      <c r="P13" s="2">
        <v>0</v>
      </c>
      <c r="Q13">
        <f t="shared" si="6"/>
        <v>0</v>
      </c>
    </row>
    <row r="14" spans="1:17">
      <c r="A14" t="s">
        <v>120</v>
      </c>
      <c r="B14">
        <v>170</v>
      </c>
      <c r="C14" s="2">
        <v>4</v>
      </c>
      <c r="D14" s="2">
        <v>4</v>
      </c>
      <c r="E14" s="3">
        <f t="shared" si="0"/>
        <v>2.3529411764705883</v>
      </c>
      <c r="F14" s="2">
        <v>2</v>
      </c>
      <c r="G14" s="3">
        <f t="shared" si="1"/>
        <v>1.1764705882352942</v>
      </c>
      <c r="I14" s="3"/>
      <c r="L14" s="2">
        <v>2</v>
      </c>
      <c r="M14" s="3">
        <f t="shared" si="4"/>
        <v>1.1764705882352942</v>
      </c>
      <c r="N14" s="2">
        <v>0</v>
      </c>
      <c r="O14">
        <f t="shared" si="5"/>
        <v>0</v>
      </c>
      <c r="P14" s="2">
        <v>0</v>
      </c>
      <c r="Q14">
        <f t="shared" si="6"/>
        <v>0</v>
      </c>
    </row>
    <row r="15" spans="1:17">
      <c r="A15" t="s">
        <v>228</v>
      </c>
      <c r="B15">
        <v>150</v>
      </c>
      <c r="C15" s="2">
        <v>5</v>
      </c>
      <c r="D15" s="2">
        <v>5</v>
      </c>
      <c r="E15" s="3">
        <f t="shared" si="0"/>
        <v>3.3333333333333335</v>
      </c>
      <c r="F15" s="2">
        <v>5</v>
      </c>
      <c r="G15" s="3">
        <f t="shared" si="1"/>
        <v>3.3333333333333335</v>
      </c>
      <c r="H15" s="2">
        <v>1</v>
      </c>
      <c r="I15" s="3">
        <f t="shared" si="2"/>
        <v>0.66666666666666674</v>
      </c>
      <c r="J15">
        <v>0</v>
      </c>
      <c r="K15">
        <f t="shared" si="3"/>
        <v>0</v>
      </c>
      <c r="L15" s="2">
        <v>0</v>
      </c>
      <c r="M15" s="39">
        <f t="shared" si="4"/>
        <v>0</v>
      </c>
      <c r="N15" s="2">
        <v>0</v>
      </c>
      <c r="O15">
        <f t="shared" si="5"/>
        <v>0</v>
      </c>
      <c r="P15" s="2">
        <v>0</v>
      </c>
      <c r="Q15">
        <f t="shared" si="6"/>
        <v>0</v>
      </c>
    </row>
    <row r="16" spans="1:17">
      <c r="A16" t="s">
        <v>121</v>
      </c>
      <c r="B16">
        <v>208</v>
      </c>
      <c r="C16" s="2">
        <v>1</v>
      </c>
      <c r="D16" s="2">
        <v>1</v>
      </c>
      <c r="E16" s="3">
        <f t="shared" si="0"/>
        <v>0.48076923076923078</v>
      </c>
      <c r="F16" s="2">
        <v>1</v>
      </c>
      <c r="G16" s="3">
        <f t="shared" si="1"/>
        <v>0.48076923076923078</v>
      </c>
      <c r="H16" s="2">
        <v>0</v>
      </c>
      <c r="I16" s="39">
        <f t="shared" si="2"/>
        <v>0</v>
      </c>
      <c r="J16">
        <v>0</v>
      </c>
      <c r="K16">
        <f t="shared" si="3"/>
        <v>0</v>
      </c>
      <c r="L16" s="2">
        <v>0</v>
      </c>
      <c r="M16" s="39">
        <f t="shared" si="4"/>
        <v>0</v>
      </c>
      <c r="N16" s="2">
        <v>0</v>
      </c>
      <c r="O16">
        <f t="shared" si="5"/>
        <v>0</v>
      </c>
      <c r="P16" s="2">
        <v>0</v>
      </c>
      <c r="Q16">
        <f t="shared" si="6"/>
        <v>0</v>
      </c>
    </row>
    <row r="17" spans="1:17">
      <c r="A17" t="s">
        <v>123</v>
      </c>
      <c r="B17">
        <v>221</v>
      </c>
      <c r="C17" s="2">
        <v>3</v>
      </c>
      <c r="D17" s="2">
        <v>2</v>
      </c>
      <c r="E17" s="3">
        <f t="shared" si="0"/>
        <v>0.90497737556561098</v>
      </c>
      <c r="F17" s="2">
        <v>2</v>
      </c>
      <c r="G17" s="3">
        <f t="shared" si="1"/>
        <v>0.90497737556561098</v>
      </c>
      <c r="H17" s="2">
        <v>1</v>
      </c>
      <c r="I17" s="3">
        <f t="shared" si="2"/>
        <v>0.45248868778280549</v>
      </c>
      <c r="J17">
        <v>0</v>
      </c>
      <c r="K17">
        <f t="shared" si="3"/>
        <v>0</v>
      </c>
      <c r="L17" s="2">
        <v>0</v>
      </c>
      <c r="M17" s="39">
        <f t="shared" si="4"/>
        <v>0</v>
      </c>
      <c r="N17" s="2">
        <v>0</v>
      </c>
      <c r="O17">
        <f t="shared" si="5"/>
        <v>0</v>
      </c>
      <c r="P17" s="2">
        <v>0</v>
      </c>
      <c r="Q17">
        <f t="shared" si="6"/>
        <v>0</v>
      </c>
    </row>
    <row r="18" spans="1:17">
      <c r="A18" t="s">
        <v>139</v>
      </c>
      <c r="B18">
        <v>182</v>
      </c>
      <c r="C18" s="2">
        <v>5</v>
      </c>
      <c r="D18" s="2">
        <v>4</v>
      </c>
      <c r="E18" s="3">
        <f t="shared" si="0"/>
        <v>2.197802197802198</v>
      </c>
      <c r="F18" s="2">
        <v>4</v>
      </c>
      <c r="G18" s="3">
        <f t="shared" si="1"/>
        <v>2.197802197802198</v>
      </c>
      <c r="H18" s="2">
        <v>2</v>
      </c>
      <c r="I18" s="3">
        <f t="shared" si="2"/>
        <v>1.098901098901099</v>
      </c>
      <c r="J18">
        <v>0</v>
      </c>
      <c r="K18">
        <f t="shared" si="3"/>
        <v>0</v>
      </c>
      <c r="L18" s="2">
        <v>0</v>
      </c>
      <c r="M18" s="39">
        <f t="shared" si="4"/>
        <v>0</v>
      </c>
      <c r="N18" s="2">
        <v>0</v>
      </c>
      <c r="O18">
        <f t="shared" si="5"/>
        <v>0</v>
      </c>
      <c r="P18" s="2">
        <v>0</v>
      </c>
      <c r="Q18">
        <f t="shared" si="6"/>
        <v>0</v>
      </c>
    </row>
    <row r="19" spans="1:17">
      <c r="A19" t="s">
        <v>140</v>
      </c>
      <c r="B19">
        <v>169</v>
      </c>
      <c r="C19" s="2">
        <v>10</v>
      </c>
      <c r="D19" s="2">
        <v>9</v>
      </c>
      <c r="E19" s="3">
        <f t="shared" si="0"/>
        <v>5.3254437869822491</v>
      </c>
      <c r="F19" s="2">
        <v>7</v>
      </c>
      <c r="G19" s="3">
        <f t="shared" si="1"/>
        <v>4.1420118343195274</v>
      </c>
      <c r="H19" s="2">
        <v>0</v>
      </c>
      <c r="I19" s="39">
        <f t="shared" si="2"/>
        <v>0</v>
      </c>
      <c r="J19">
        <v>0</v>
      </c>
      <c r="K19">
        <f t="shared" si="3"/>
        <v>0</v>
      </c>
      <c r="L19" s="2">
        <v>2</v>
      </c>
      <c r="M19" s="3">
        <f t="shared" si="4"/>
        <v>1.1834319526627219</v>
      </c>
      <c r="N19" s="2">
        <v>0</v>
      </c>
      <c r="O19">
        <f t="shared" si="5"/>
        <v>0</v>
      </c>
      <c r="P19" s="2">
        <v>0</v>
      </c>
      <c r="Q19">
        <f t="shared" si="6"/>
        <v>0</v>
      </c>
    </row>
    <row r="20" spans="1:17">
      <c r="A20" t="s">
        <v>277</v>
      </c>
      <c r="B20">
        <v>85</v>
      </c>
      <c r="C20" s="2">
        <v>3</v>
      </c>
      <c r="D20" s="2">
        <v>3</v>
      </c>
      <c r="E20" s="3">
        <f t="shared" si="0"/>
        <v>3.5294117647058822</v>
      </c>
      <c r="F20" s="2">
        <v>2</v>
      </c>
      <c r="G20" s="3">
        <f t="shared" si="1"/>
        <v>2.3529411764705883</v>
      </c>
      <c r="H20" s="2">
        <v>1</v>
      </c>
      <c r="I20" s="3">
        <f t="shared" si="2"/>
        <v>1.1764705882352942</v>
      </c>
      <c r="J20">
        <v>0</v>
      </c>
      <c r="K20">
        <f t="shared" si="3"/>
        <v>0</v>
      </c>
      <c r="L20" s="2">
        <v>1</v>
      </c>
      <c r="M20" s="3">
        <f t="shared" si="4"/>
        <v>1.1764705882352942</v>
      </c>
      <c r="N20" s="2">
        <v>0</v>
      </c>
      <c r="O20">
        <f t="shared" si="5"/>
        <v>0</v>
      </c>
      <c r="P20" s="2">
        <v>0</v>
      </c>
      <c r="Q20">
        <f t="shared" si="6"/>
        <v>0</v>
      </c>
    </row>
    <row r="21" spans="1:17" ht="14.65" thickBot="1">
      <c r="A21" s="5" t="s">
        <v>130</v>
      </c>
      <c r="B21" s="5">
        <v>170</v>
      </c>
      <c r="C21" s="6">
        <v>1</v>
      </c>
      <c r="D21" s="6">
        <v>1</v>
      </c>
      <c r="E21" s="7">
        <f t="shared" si="0"/>
        <v>0.58823529411764708</v>
      </c>
      <c r="F21" s="6">
        <v>1</v>
      </c>
      <c r="G21" s="7">
        <f t="shared" si="1"/>
        <v>0.58823529411764708</v>
      </c>
      <c r="H21" s="6">
        <v>1</v>
      </c>
      <c r="I21" s="7">
        <f t="shared" si="2"/>
        <v>0.58823529411764708</v>
      </c>
      <c r="J21" s="5">
        <v>0</v>
      </c>
      <c r="K21" s="5">
        <f t="shared" si="3"/>
        <v>0</v>
      </c>
      <c r="L21" s="6">
        <v>0</v>
      </c>
      <c r="M21" s="40">
        <f t="shared" si="4"/>
        <v>0</v>
      </c>
      <c r="N21" s="6">
        <v>0</v>
      </c>
      <c r="O21" s="5">
        <f t="shared" si="5"/>
        <v>0</v>
      </c>
      <c r="P21" s="6">
        <v>0</v>
      </c>
      <c r="Q21" s="5">
        <f t="shared" si="6"/>
        <v>0</v>
      </c>
    </row>
    <row r="22" spans="1:17" ht="14.65" thickBot="1">
      <c r="A22" s="4" t="s">
        <v>616</v>
      </c>
      <c r="B22" s="8">
        <f>SUM(B3:B21)</f>
        <v>2919</v>
      </c>
      <c r="C22" s="8">
        <f>SUM(C3:C21)</f>
        <v>59</v>
      </c>
      <c r="D22" s="8">
        <f>SUM(D3:D21)</f>
        <v>50</v>
      </c>
      <c r="E22" s="9">
        <f t="shared" si="0"/>
        <v>1.7129153819801302</v>
      </c>
      <c r="F22" s="8">
        <f>SUM(F3:F21)</f>
        <v>38</v>
      </c>
      <c r="G22" s="9">
        <f t="shared" si="1"/>
        <v>1.301815690304899</v>
      </c>
      <c r="H22" s="8">
        <f>SUM(H3:H21)</f>
        <v>8</v>
      </c>
      <c r="I22" s="9">
        <f t="shared" si="2"/>
        <v>0.27406646111682081</v>
      </c>
      <c r="J22" s="4">
        <f>SUM(J3:J21)</f>
        <v>0</v>
      </c>
      <c r="K22" s="4">
        <f t="shared" si="3"/>
        <v>0</v>
      </c>
      <c r="L22" s="8">
        <f>SUM(L3:L21)</f>
        <v>12</v>
      </c>
      <c r="M22" s="9">
        <f t="shared" si="4"/>
        <v>0.41109969167523125</v>
      </c>
      <c r="N22" s="8">
        <f>SUM(N3:N21)</f>
        <v>0</v>
      </c>
      <c r="O22" s="4">
        <f t="shared" si="5"/>
        <v>0</v>
      </c>
      <c r="P22" s="8">
        <f>SUM(P3:P21)</f>
        <v>0</v>
      </c>
      <c r="Q22" s="4">
        <f t="shared" si="6"/>
        <v>0</v>
      </c>
    </row>
    <row r="23" spans="1:17">
      <c r="A23" t="s">
        <v>617</v>
      </c>
      <c r="B23">
        <v>41</v>
      </c>
      <c r="C23" s="2">
        <v>1</v>
      </c>
      <c r="D23" s="2">
        <v>1</v>
      </c>
      <c r="E23" s="3">
        <f t="shared" si="0"/>
        <v>2.4390243902439024</v>
      </c>
      <c r="F23" s="2">
        <v>1</v>
      </c>
      <c r="G23" s="3">
        <f t="shared" si="1"/>
        <v>2.4390243902439024</v>
      </c>
      <c r="H23">
        <v>0</v>
      </c>
      <c r="I23" s="3">
        <f t="shared" si="2"/>
        <v>0</v>
      </c>
      <c r="J23">
        <v>0</v>
      </c>
      <c r="K23">
        <f t="shared" si="3"/>
        <v>0</v>
      </c>
      <c r="L23" s="2">
        <v>0</v>
      </c>
      <c r="M23" s="39">
        <f t="shared" si="4"/>
        <v>0</v>
      </c>
      <c r="N23" s="2">
        <v>0</v>
      </c>
      <c r="O23">
        <f t="shared" si="5"/>
        <v>0</v>
      </c>
      <c r="P23" s="2">
        <v>0</v>
      </c>
      <c r="Q23">
        <f t="shared" si="6"/>
        <v>0</v>
      </c>
    </row>
    <row r="24" spans="1:17" ht="14.65" thickBot="1">
      <c r="A24" s="5" t="s">
        <v>437</v>
      </c>
      <c r="B24" s="5">
        <v>330</v>
      </c>
      <c r="C24" s="6">
        <v>1</v>
      </c>
      <c r="D24" s="6">
        <v>1</v>
      </c>
      <c r="E24" s="7">
        <f t="shared" si="0"/>
        <v>0.30303030303030304</v>
      </c>
      <c r="F24" s="6">
        <v>0</v>
      </c>
      <c r="G24" s="40">
        <f t="shared" si="1"/>
        <v>0</v>
      </c>
      <c r="H24" s="5"/>
      <c r="I24" s="7"/>
      <c r="J24" s="5"/>
      <c r="K24" s="5"/>
      <c r="L24" s="6">
        <v>1</v>
      </c>
      <c r="M24" s="7">
        <f t="shared" si="4"/>
        <v>0.30303030303030304</v>
      </c>
      <c r="N24" s="6">
        <v>0</v>
      </c>
      <c r="O24" s="5">
        <f t="shared" si="5"/>
        <v>0</v>
      </c>
      <c r="P24" s="6">
        <v>0</v>
      </c>
      <c r="Q24" s="5">
        <f t="shared" si="6"/>
        <v>0</v>
      </c>
    </row>
    <row r="25" spans="1:17" ht="14.65" thickBot="1">
      <c r="A25" s="4" t="s">
        <v>454</v>
      </c>
      <c r="B25" s="4">
        <v>371</v>
      </c>
      <c r="C25" s="8">
        <v>2</v>
      </c>
      <c r="D25" s="8">
        <v>2</v>
      </c>
      <c r="E25" s="9">
        <f t="shared" si="0"/>
        <v>0.53908355795148255</v>
      </c>
      <c r="F25" s="8">
        <v>1</v>
      </c>
      <c r="G25" s="9">
        <f t="shared" si="1"/>
        <v>0.26954177897574128</v>
      </c>
      <c r="H25" s="8">
        <f>SUM(H23:H24)</f>
        <v>0</v>
      </c>
      <c r="I25" s="9">
        <f t="shared" si="2"/>
        <v>0</v>
      </c>
      <c r="J25" s="4">
        <v>0</v>
      </c>
      <c r="K25" s="4">
        <f t="shared" si="3"/>
        <v>0</v>
      </c>
      <c r="L25" s="8">
        <v>1</v>
      </c>
      <c r="M25" s="9">
        <f t="shared" si="4"/>
        <v>0.26954177897574128</v>
      </c>
      <c r="N25" s="8">
        <v>0</v>
      </c>
      <c r="O25" s="4">
        <f t="shared" si="5"/>
        <v>0</v>
      </c>
      <c r="P25" s="8">
        <v>0</v>
      </c>
      <c r="Q25" s="4">
        <f t="shared" si="6"/>
        <v>0</v>
      </c>
    </row>
    <row r="26" spans="1:17" ht="14.65" thickBot="1">
      <c r="A26" s="4" t="s">
        <v>311</v>
      </c>
      <c r="B26" s="8">
        <f>B22+B25</f>
        <v>3290</v>
      </c>
      <c r="C26" s="8">
        <f>C22+C25</f>
        <v>61</v>
      </c>
      <c r="D26" s="8">
        <f>D22+D25</f>
        <v>52</v>
      </c>
      <c r="E26" s="9">
        <f t="shared" si="0"/>
        <v>1.5805471124620063</v>
      </c>
      <c r="F26" s="8">
        <f>F22+F25</f>
        <v>39</v>
      </c>
      <c r="G26" s="9">
        <f t="shared" si="1"/>
        <v>1.1854103343465046</v>
      </c>
      <c r="H26" s="8">
        <f>H22+H25</f>
        <v>8</v>
      </c>
      <c r="I26" s="9">
        <f t="shared" si="2"/>
        <v>0.24316109422492402</v>
      </c>
      <c r="J26" s="4">
        <f>J22+J25</f>
        <v>0</v>
      </c>
      <c r="K26" s="4">
        <f t="shared" si="3"/>
        <v>0</v>
      </c>
      <c r="L26" s="8">
        <f>L22+L25</f>
        <v>13</v>
      </c>
      <c r="M26" s="9">
        <f t="shared" si="4"/>
        <v>0.39513677811550157</v>
      </c>
      <c r="N26" s="8">
        <f>N22+N25</f>
        <v>0</v>
      </c>
      <c r="O26" s="4">
        <f t="shared" si="5"/>
        <v>0</v>
      </c>
      <c r="P26" s="8">
        <f>P22+P25</f>
        <v>0</v>
      </c>
      <c r="Q26" s="4">
        <f t="shared" si="6"/>
        <v>0</v>
      </c>
    </row>
    <row r="28" spans="1:17">
      <c r="A28" t="s">
        <v>133</v>
      </c>
    </row>
  </sheetData>
  <mergeCells count="10">
    <mergeCell ref="J1:K1"/>
    <mergeCell ref="L1:M1"/>
    <mergeCell ref="N1:O1"/>
    <mergeCell ref="P1:Q1"/>
    <mergeCell ref="A1:A2"/>
    <mergeCell ref="B1:B2"/>
    <mergeCell ref="C1:C2"/>
    <mergeCell ref="D1:E1"/>
    <mergeCell ref="F1:G1"/>
    <mergeCell ref="H1:I1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26"/>
  <dimension ref="A1:Q15"/>
  <sheetViews>
    <sheetView workbookViewId="0">
      <selection activeCell="G24" sqref="G23:G24"/>
    </sheetView>
  </sheetViews>
  <sheetFormatPr defaultColWidth="11.42578125" defaultRowHeight="14.25"/>
  <cols>
    <col min="1" max="1" width="23.85546875" customWidth="1"/>
  </cols>
  <sheetData>
    <row r="1" spans="1:17" ht="14.65" thickBot="1">
      <c r="A1" s="63" t="s">
        <v>104</v>
      </c>
      <c r="B1" s="63" t="s">
        <v>75</v>
      </c>
      <c r="C1" s="63" t="s">
        <v>105</v>
      </c>
      <c r="D1" s="61" t="s">
        <v>106</v>
      </c>
      <c r="E1" s="61"/>
      <c r="F1" s="61" t="s">
        <v>107</v>
      </c>
      <c r="G1" s="61"/>
      <c r="H1" s="61" t="s">
        <v>108</v>
      </c>
      <c r="I1" s="61"/>
      <c r="J1" s="61" t="s">
        <v>109</v>
      </c>
      <c r="K1" s="61"/>
      <c r="L1" s="61" t="s">
        <v>110</v>
      </c>
      <c r="M1" s="61"/>
      <c r="N1" s="61" t="s">
        <v>111</v>
      </c>
      <c r="O1" s="61"/>
      <c r="P1" s="61" t="s">
        <v>112</v>
      </c>
      <c r="Q1" s="61"/>
    </row>
    <row r="2" spans="1:17" ht="14.65" thickBot="1">
      <c r="A2" s="64"/>
      <c r="B2" s="64"/>
      <c r="C2" s="64"/>
      <c r="D2" s="4" t="s">
        <v>69</v>
      </c>
      <c r="E2" s="4" t="s">
        <v>87</v>
      </c>
      <c r="F2" s="4" t="s">
        <v>69</v>
      </c>
      <c r="G2" s="4" t="s">
        <v>87</v>
      </c>
      <c r="H2" s="4" t="s">
        <v>69</v>
      </c>
      <c r="I2" s="4" t="s">
        <v>87</v>
      </c>
      <c r="J2" s="4" t="s">
        <v>69</v>
      </c>
      <c r="K2" s="4" t="s">
        <v>87</v>
      </c>
      <c r="L2" s="4" t="s">
        <v>69</v>
      </c>
      <c r="M2" s="4" t="s">
        <v>87</v>
      </c>
      <c r="N2" s="4" t="s">
        <v>69</v>
      </c>
      <c r="O2" s="4" t="s">
        <v>87</v>
      </c>
      <c r="P2" s="4" t="s">
        <v>69</v>
      </c>
      <c r="Q2" s="4" t="s">
        <v>87</v>
      </c>
    </row>
    <row r="3" spans="1:17">
      <c r="A3" t="s">
        <v>149</v>
      </c>
      <c r="B3">
        <v>181</v>
      </c>
      <c r="C3" s="2">
        <v>2</v>
      </c>
      <c r="D3" s="2">
        <v>2</v>
      </c>
      <c r="E3" s="3">
        <f>(D3/B3)*100</f>
        <v>1.1049723756906076</v>
      </c>
      <c r="F3" s="2">
        <v>1</v>
      </c>
      <c r="G3" s="3">
        <f>(F3/B3)*100</f>
        <v>0.55248618784530379</v>
      </c>
      <c r="H3" s="2">
        <v>0</v>
      </c>
      <c r="I3" s="39">
        <f>(H3/B3)*100</f>
        <v>0</v>
      </c>
      <c r="J3">
        <v>0</v>
      </c>
      <c r="K3">
        <f>(J3/B3)*100</f>
        <v>0</v>
      </c>
      <c r="L3" s="2">
        <v>1</v>
      </c>
      <c r="M3" s="3">
        <f>(L3/B3)*100</f>
        <v>0.55248618784530379</v>
      </c>
      <c r="N3" s="2">
        <v>0</v>
      </c>
      <c r="O3" s="39">
        <f>(N3/B3)*100</f>
        <v>0</v>
      </c>
      <c r="P3" s="2">
        <v>0</v>
      </c>
      <c r="Q3">
        <f>(P3/B3)*100</f>
        <v>0</v>
      </c>
    </row>
    <row r="4" spans="1:17">
      <c r="A4" t="s">
        <v>136</v>
      </c>
      <c r="B4">
        <v>168</v>
      </c>
      <c r="C4" s="2">
        <v>1</v>
      </c>
      <c r="D4" s="2">
        <v>1</v>
      </c>
      <c r="E4" s="3">
        <f t="shared" ref="E4:E13" si="0">(D4/B4)*100</f>
        <v>0.59523809523809523</v>
      </c>
      <c r="F4" s="2">
        <v>0</v>
      </c>
      <c r="G4" s="39">
        <f t="shared" ref="G4:G13" si="1">(F4/B4)*100</f>
        <v>0</v>
      </c>
      <c r="H4" s="2">
        <v>0</v>
      </c>
      <c r="I4" s="39">
        <f>(H4/B4)*100</f>
        <v>0</v>
      </c>
      <c r="J4">
        <v>0</v>
      </c>
      <c r="K4">
        <f>(J4/B4)*100</f>
        <v>0</v>
      </c>
      <c r="L4" s="2">
        <v>1</v>
      </c>
      <c r="M4" s="3">
        <f t="shared" ref="M4:M13" si="2">(L4/B4)*100</f>
        <v>0.59523809523809523</v>
      </c>
      <c r="N4" s="2">
        <v>0</v>
      </c>
      <c r="O4" s="39">
        <f t="shared" ref="O4:O13" si="3">(N4/B4)*100</f>
        <v>0</v>
      </c>
      <c r="P4" s="2">
        <v>0</v>
      </c>
      <c r="Q4">
        <f t="shared" ref="Q4:Q13" si="4">(P4/B4)*100</f>
        <v>0</v>
      </c>
    </row>
    <row r="5" spans="1:17">
      <c r="A5" t="s">
        <v>204</v>
      </c>
      <c r="B5">
        <v>190</v>
      </c>
      <c r="C5" s="2">
        <v>1</v>
      </c>
      <c r="D5" s="2">
        <v>0</v>
      </c>
      <c r="E5" s="3">
        <f t="shared" si="0"/>
        <v>0</v>
      </c>
      <c r="F5" s="2">
        <v>0</v>
      </c>
      <c r="G5" s="39">
        <f t="shared" si="1"/>
        <v>0</v>
      </c>
      <c r="H5" s="2">
        <v>0</v>
      </c>
      <c r="I5" s="39">
        <f>(H5/B5)*100</f>
        <v>0</v>
      </c>
      <c r="J5">
        <v>0</v>
      </c>
      <c r="K5">
        <f>(J5/B5)*100</f>
        <v>0</v>
      </c>
      <c r="L5" s="2">
        <v>0</v>
      </c>
      <c r="M5" s="3"/>
      <c r="N5" s="2">
        <v>0</v>
      </c>
      <c r="O5" s="39">
        <f t="shared" si="3"/>
        <v>0</v>
      </c>
      <c r="P5" s="2">
        <v>0</v>
      </c>
      <c r="Q5">
        <f t="shared" si="4"/>
        <v>0</v>
      </c>
    </row>
    <row r="6" spans="1:17">
      <c r="A6" t="s">
        <v>128</v>
      </c>
      <c r="B6">
        <v>188</v>
      </c>
      <c r="C6" s="2">
        <v>5</v>
      </c>
      <c r="D6" s="2">
        <v>3</v>
      </c>
      <c r="E6" s="3">
        <f t="shared" si="0"/>
        <v>1.5957446808510638</v>
      </c>
      <c r="F6" s="2">
        <v>3</v>
      </c>
      <c r="G6" s="3">
        <f t="shared" si="1"/>
        <v>1.5957446808510638</v>
      </c>
      <c r="I6" s="3"/>
      <c r="L6" s="2">
        <v>0</v>
      </c>
      <c r="M6" s="3">
        <f t="shared" si="2"/>
        <v>0</v>
      </c>
      <c r="N6" s="2">
        <v>0</v>
      </c>
      <c r="O6" s="39">
        <f t="shared" si="3"/>
        <v>0</v>
      </c>
      <c r="P6" s="2">
        <v>0</v>
      </c>
      <c r="Q6">
        <f t="shared" si="4"/>
        <v>0</v>
      </c>
    </row>
    <row r="7" spans="1:17">
      <c r="A7" t="s">
        <v>120</v>
      </c>
      <c r="B7">
        <v>170</v>
      </c>
      <c r="C7" s="2">
        <v>18</v>
      </c>
      <c r="D7" s="2">
        <v>18</v>
      </c>
      <c r="E7" s="3">
        <f t="shared" si="0"/>
        <v>10.588235294117647</v>
      </c>
      <c r="F7" s="2">
        <v>11</v>
      </c>
      <c r="G7" s="3">
        <f t="shared" si="1"/>
        <v>6.4705882352941186</v>
      </c>
      <c r="I7" s="3"/>
      <c r="L7" s="2">
        <v>7</v>
      </c>
      <c r="M7" s="3">
        <f t="shared" si="2"/>
        <v>4.117647058823529</v>
      </c>
      <c r="N7" s="2">
        <v>0</v>
      </c>
      <c r="O7" s="39">
        <f t="shared" si="3"/>
        <v>0</v>
      </c>
      <c r="P7" s="2">
        <v>0</v>
      </c>
      <c r="Q7">
        <f t="shared" si="4"/>
        <v>0</v>
      </c>
    </row>
    <row r="8" spans="1:17">
      <c r="A8" t="s">
        <v>122</v>
      </c>
      <c r="B8">
        <v>299</v>
      </c>
      <c r="C8" s="2">
        <v>1</v>
      </c>
      <c r="D8" s="2">
        <v>1</v>
      </c>
      <c r="E8" s="3">
        <f t="shared" si="0"/>
        <v>0.33444816053511706</v>
      </c>
      <c r="F8" s="2">
        <v>1</v>
      </c>
      <c r="G8" s="3">
        <f t="shared" si="1"/>
        <v>0.33444816053511706</v>
      </c>
      <c r="I8" s="3"/>
      <c r="L8" s="2">
        <v>0</v>
      </c>
      <c r="M8" s="39">
        <f t="shared" si="2"/>
        <v>0</v>
      </c>
      <c r="N8" s="2">
        <v>0</v>
      </c>
      <c r="O8" s="39">
        <f t="shared" si="3"/>
        <v>0</v>
      </c>
      <c r="P8" s="2">
        <v>0</v>
      </c>
      <c r="Q8">
        <f t="shared" si="4"/>
        <v>0</v>
      </c>
    </row>
    <row r="9" spans="1:17">
      <c r="A9" t="s">
        <v>139</v>
      </c>
      <c r="B9">
        <v>171</v>
      </c>
      <c r="C9" s="2">
        <v>6</v>
      </c>
      <c r="D9" s="2">
        <v>6</v>
      </c>
      <c r="E9" s="3">
        <f t="shared" si="0"/>
        <v>3.5087719298245612</v>
      </c>
      <c r="F9" s="2">
        <v>6</v>
      </c>
      <c r="G9" s="3">
        <f t="shared" si="1"/>
        <v>3.5087719298245612</v>
      </c>
      <c r="H9" s="2">
        <v>2</v>
      </c>
      <c r="I9" s="3">
        <f>(H9/B9)*100</f>
        <v>1.1695906432748537</v>
      </c>
      <c r="J9">
        <v>0</v>
      </c>
      <c r="K9">
        <f>(J9/B9)*100</f>
        <v>0</v>
      </c>
      <c r="L9" s="2">
        <v>0</v>
      </c>
      <c r="M9" s="39">
        <f t="shared" si="2"/>
        <v>0</v>
      </c>
      <c r="N9" s="2">
        <v>0</v>
      </c>
      <c r="O9" s="39">
        <f t="shared" si="3"/>
        <v>0</v>
      </c>
      <c r="P9" s="2">
        <v>0</v>
      </c>
      <c r="Q9">
        <f t="shared" si="4"/>
        <v>0</v>
      </c>
    </row>
    <row r="10" spans="1:17" ht="14.65" thickBot="1">
      <c r="A10" s="5" t="s">
        <v>140</v>
      </c>
      <c r="B10" s="5">
        <v>170</v>
      </c>
      <c r="C10" s="6">
        <v>1</v>
      </c>
      <c r="D10" s="6">
        <v>1</v>
      </c>
      <c r="E10" s="7">
        <f t="shared" si="0"/>
        <v>0.58823529411764708</v>
      </c>
      <c r="F10" s="6">
        <v>0</v>
      </c>
      <c r="G10" s="40">
        <f t="shared" si="1"/>
        <v>0</v>
      </c>
      <c r="H10" s="6">
        <v>0</v>
      </c>
      <c r="I10" s="40">
        <f t="shared" ref="I10:I13" si="5">(H10/B10)*100</f>
        <v>0</v>
      </c>
      <c r="J10" s="5">
        <v>0</v>
      </c>
      <c r="K10" s="5">
        <f t="shared" ref="K10:K13" si="6">(J10/B10)*100</f>
        <v>0</v>
      </c>
      <c r="L10" s="6">
        <v>0</v>
      </c>
      <c r="M10" s="40">
        <f t="shared" si="2"/>
        <v>0</v>
      </c>
      <c r="N10" s="6">
        <v>1</v>
      </c>
      <c r="O10" s="7">
        <f t="shared" si="3"/>
        <v>0.58823529411764708</v>
      </c>
      <c r="P10" s="6">
        <v>0</v>
      </c>
      <c r="Q10" s="5">
        <f t="shared" si="4"/>
        <v>0</v>
      </c>
    </row>
    <row r="11" spans="1:17" ht="14.65" thickBot="1">
      <c r="A11" s="4" t="s">
        <v>618</v>
      </c>
      <c r="B11" s="8">
        <f>SUM(B3:B10)</f>
        <v>1537</v>
      </c>
      <c r="C11" s="8">
        <f>SUM(C3:C10)</f>
        <v>35</v>
      </c>
      <c r="D11" s="8">
        <f>SUM(D3:D10)</f>
        <v>32</v>
      </c>
      <c r="E11" s="9">
        <f t="shared" si="0"/>
        <v>2.0819778789850361</v>
      </c>
      <c r="F11" s="8">
        <f>SUM(F3:F10)</f>
        <v>22</v>
      </c>
      <c r="G11" s="9">
        <f t="shared" si="1"/>
        <v>1.4313597918022121</v>
      </c>
      <c r="H11" s="8">
        <f>SUM(H3:H10)</f>
        <v>2</v>
      </c>
      <c r="I11" s="9">
        <f t="shared" si="5"/>
        <v>0.13012361743656475</v>
      </c>
      <c r="J11" s="4">
        <f>SUM(J3:J10)</f>
        <v>0</v>
      </c>
      <c r="K11" s="4">
        <f t="shared" si="6"/>
        <v>0</v>
      </c>
      <c r="L11" s="8">
        <f>SUM(L3:L10)</f>
        <v>9</v>
      </c>
      <c r="M11" s="9">
        <f t="shared" si="2"/>
        <v>0.58555627846454128</v>
      </c>
      <c r="N11" s="8">
        <f>SUM(N3:N10)</f>
        <v>1</v>
      </c>
      <c r="O11" s="9">
        <f t="shared" si="3"/>
        <v>6.5061808718282377E-2</v>
      </c>
      <c r="P11" s="8">
        <f>SUM(P3:P10)</f>
        <v>0</v>
      </c>
      <c r="Q11" s="4">
        <f t="shared" si="4"/>
        <v>0</v>
      </c>
    </row>
    <row r="12" spans="1:17" ht="14.65" thickBot="1">
      <c r="A12" s="5" t="s">
        <v>142</v>
      </c>
      <c r="B12" s="5">
        <v>190</v>
      </c>
      <c r="C12" s="6">
        <v>6</v>
      </c>
      <c r="D12" s="6">
        <v>6</v>
      </c>
      <c r="E12" s="7">
        <f t="shared" si="0"/>
        <v>3.1578947368421053</v>
      </c>
      <c r="F12" s="6">
        <v>2</v>
      </c>
      <c r="G12" s="7">
        <f t="shared" si="1"/>
        <v>1.0526315789473684</v>
      </c>
      <c r="H12" s="6">
        <v>1</v>
      </c>
      <c r="I12" s="7">
        <f t="shared" si="5"/>
        <v>0.52631578947368418</v>
      </c>
      <c r="J12" s="5">
        <v>0</v>
      </c>
      <c r="K12" s="5">
        <f t="shared" si="6"/>
        <v>0</v>
      </c>
      <c r="L12" s="6">
        <v>1</v>
      </c>
      <c r="M12" s="7">
        <f t="shared" si="2"/>
        <v>0.52631578947368418</v>
      </c>
      <c r="N12" s="6">
        <v>3</v>
      </c>
      <c r="O12" s="7">
        <f t="shared" si="3"/>
        <v>1.5789473684210527</v>
      </c>
      <c r="P12" s="6">
        <v>0</v>
      </c>
      <c r="Q12" s="5">
        <f t="shared" si="4"/>
        <v>0</v>
      </c>
    </row>
    <row r="13" spans="1:17" ht="14.65" thickBot="1">
      <c r="A13" s="4" t="s">
        <v>143</v>
      </c>
      <c r="B13" s="8">
        <f>B11+B12</f>
        <v>1727</v>
      </c>
      <c r="C13" s="8">
        <f>C11+C12</f>
        <v>41</v>
      </c>
      <c r="D13" s="8">
        <f>D11+D12</f>
        <v>38</v>
      </c>
      <c r="E13" s="9">
        <f t="shared" si="0"/>
        <v>2.2003474232773592</v>
      </c>
      <c r="F13" s="8">
        <f>F11+F12</f>
        <v>24</v>
      </c>
      <c r="G13" s="9">
        <f t="shared" si="1"/>
        <v>1.3896931094383325</v>
      </c>
      <c r="H13" s="8">
        <f>H11+H12</f>
        <v>3</v>
      </c>
      <c r="I13" s="9">
        <f t="shared" si="5"/>
        <v>0.17371163867979156</v>
      </c>
      <c r="J13" s="4">
        <f>J11+J12</f>
        <v>0</v>
      </c>
      <c r="K13" s="4">
        <f t="shared" si="6"/>
        <v>0</v>
      </c>
      <c r="L13" s="8">
        <f>L11+L12</f>
        <v>10</v>
      </c>
      <c r="M13" s="9">
        <f t="shared" si="2"/>
        <v>0.57903879559930516</v>
      </c>
      <c r="N13" s="8">
        <f>N11+N12</f>
        <v>4</v>
      </c>
      <c r="O13" s="7">
        <f t="shared" si="3"/>
        <v>0.23161551823972204</v>
      </c>
      <c r="P13" s="8">
        <f>P11+P12</f>
        <v>0</v>
      </c>
      <c r="Q13" s="4">
        <f t="shared" si="4"/>
        <v>0</v>
      </c>
    </row>
    <row r="15" spans="1:17">
      <c r="A15" t="s">
        <v>133</v>
      </c>
    </row>
  </sheetData>
  <mergeCells count="10">
    <mergeCell ref="J1:K1"/>
    <mergeCell ref="L1:M1"/>
    <mergeCell ref="N1:O1"/>
    <mergeCell ref="P1:Q1"/>
    <mergeCell ref="A1:A2"/>
    <mergeCell ref="B1:B2"/>
    <mergeCell ref="C1:C2"/>
    <mergeCell ref="D1:E1"/>
    <mergeCell ref="F1:G1"/>
    <mergeCell ref="H1:I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0"/>
  <dimension ref="A1:P37"/>
  <sheetViews>
    <sheetView workbookViewId="0">
      <selection activeCell="F28" sqref="F28"/>
    </sheetView>
  </sheetViews>
  <sheetFormatPr defaultColWidth="10.7109375" defaultRowHeight="14.25"/>
  <cols>
    <col min="1" max="1" width="34.28515625" customWidth="1"/>
    <col min="8" max="8" width="12.5703125" customWidth="1"/>
    <col min="10" max="10" width="13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619</v>
      </c>
      <c r="B3">
        <v>321</v>
      </c>
      <c r="C3" s="3">
        <v>4.6728971962616823</v>
      </c>
      <c r="D3" t="s">
        <v>482</v>
      </c>
      <c r="E3" s="3">
        <v>4.361370716510903</v>
      </c>
      <c r="F3" t="s">
        <v>620</v>
      </c>
      <c r="K3" s="3">
        <v>0.3115264797507788</v>
      </c>
      <c r="L3" t="s">
        <v>210</v>
      </c>
      <c r="M3" s="3">
        <v>0</v>
      </c>
      <c r="N3" t="s">
        <v>156</v>
      </c>
      <c r="O3" s="3">
        <v>0</v>
      </c>
      <c r="P3" t="s">
        <v>156</v>
      </c>
    </row>
    <row r="4" spans="1:16">
      <c r="A4" t="s">
        <v>621</v>
      </c>
      <c r="B4">
        <v>312</v>
      </c>
      <c r="C4" s="3">
        <v>1.9230769230769231</v>
      </c>
      <c r="D4" t="s">
        <v>622</v>
      </c>
      <c r="E4" s="3">
        <v>1.2820512820512819</v>
      </c>
      <c r="F4" t="s">
        <v>623</v>
      </c>
      <c r="K4" s="3">
        <v>0.64102564102564097</v>
      </c>
      <c r="L4" t="s">
        <v>428</v>
      </c>
      <c r="M4" s="3">
        <v>0</v>
      </c>
      <c r="N4" t="s">
        <v>162</v>
      </c>
      <c r="O4" s="3">
        <v>0</v>
      </c>
      <c r="P4" t="s">
        <v>162</v>
      </c>
    </row>
    <row r="5" spans="1:16">
      <c r="A5" t="s">
        <v>163</v>
      </c>
      <c r="B5">
        <v>137</v>
      </c>
      <c r="C5" s="3">
        <v>8.7591240875912408</v>
      </c>
      <c r="D5" t="s">
        <v>624</v>
      </c>
      <c r="E5" s="3">
        <v>7.2992700729927016</v>
      </c>
      <c r="F5" t="s">
        <v>625</v>
      </c>
      <c r="G5" s="3">
        <v>5.1094890510948909</v>
      </c>
      <c r="H5" t="s">
        <v>626</v>
      </c>
      <c r="I5" s="3">
        <v>0</v>
      </c>
      <c r="J5" t="s">
        <v>627</v>
      </c>
      <c r="K5" s="3">
        <v>0</v>
      </c>
      <c r="L5" t="s">
        <v>628</v>
      </c>
      <c r="M5" s="3">
        <v>1.4598540145985401</v>
      </c>
      <c r="N5" t="s">
        <v>629</v>
      </c>
      <c r="O5" s="3">
        <v>0</v>
      </c>
      <c r="P5" t="s">
        <v>628</v>
      </c>
    </row>
    <row r="6" spans="1:16">
      <c r="A6" t="s">
        <v>171</v>
      </c>
      <c r="B6">
        <v>97</v>
      </c>
      <c r="C6" s="3">
        <v>6.1855670103092786</v>
      </c>
      <c r="D6" t="s">
        <v>630</v>
      </c>
      <c r="E6" s="3">
        <v>6.1855670103092786</v>
      </c>
      <c r="F6" t="s">
        <v>630</v>
      </c>
      <c r="G6" s="3">
        <v>0</v>
      </c>
      <c r="H6" t="s">
        <v>236</v>
      </c>
      <c r="I6" s="3">
        <v>0</v>
      </c>
      <c r="J6" t="s">
        <v>236</v>
      </c>
      <c r="K6" s="3">
        <v>0</v>
      </c>
      <c r="L6" t="s">
        <v>276</v>
      </c>
      <c r="M6" s="3">
        <v>0</v>
      </c>
      <c r="N6" t="s">
        <v>276</v>
      </c>
      <c r="O6" s="3">
        <v>0</v>
      </c>
      <c r="P6" t="s">
        <v>276</v>
      </c>
    </row>
    <row r="7" spans="1:16">
      <c r="A7" t="s">
        <v>135</v>
      </c>
      <c r="B7">
        <v>155</v>
      </c>
      <c r="C7" s="3">
        <v>0</v>
      </c>
      <c r="D7" t="s">
        <v>170</v>
      </c>
      <c r="E7" s="3">
        <v>0</v>
      </c>
      <c r="F7" t="s">
        <v>170</v>
      </c>
      <c r="G7" s="3">
        <v>0</v>
      </c>
      <c r="H7" t="s">
        <v>181</v>
      </c>
      <c r="I7" s="3">
        <v>0</v>
      </c>
      <c r="J7" t="s">
        <v>181</v>
      </c>
      <c r="K7" s="3">
        <v>0</v>
      </c>
      <c r="L7" t="s">
        <v>170</v>
      </c>
      <c r="M7" s="3">
        <v>0</v>
      </c>
      <c r="N7" t="s">
        <v>170</v>
      </c>
      <c r="O7" s="3">
        <v>0</v>
      </c>
      <c r="P7" t="s">
        <v>170</v>
      </c>
    </row>
    <row r="8" spans="1:16">
      <c r="A8" t="s">
        <v>184</v>
      </c>
      <c r="B8">
        <v>297</v>
      </c>
      <c r="C8" s="48">
        <v>8.8000000000000007</v>
      </c>
      <c r="D8" s="14" t="s">
        <v>631</v>
      </c>
      <c r="E8" s="48">
        <v>5.7</v>
      </c>
      <c r="F8" s="14" t="s">
        <v>632</v>
      </c>
      <c r="G8" s="3"/>
      <c r="I8" s="3"/>
      <c r="K8" s="3">
        <v>3.0303030303030303</v>
      </c>
      <c r="L8" t="s">
        <v>496</v>
      </c>
      <c r="M8" s="3">
        <v>0</v>
      </c>
      <c r="N8" t="s">
        <v>162</v>
      </c>
      <c r="O8" s="3">
        <v>0</v>
      </c>
      <c r="P8" t="s">
        <v>162</v>
      </c>
    </row>
    <row r="9" spans="1:16">
      <c r="A9" t="s">
        <v>136</v>
      </c>
      <c r="B9">
        <v>319</v>
      </c>
      <c r="C9" s="3">
        <v>4.3887147335423196</v>
      </c>
      <c r="D9" t="s">
        <v>633</v>
      </c>
      <c r="E9" s="3">
        <v>2.8213166144200628</v>
      </c>
      <c r="F9" t="s">
        <v>634</v>
      </c>
      <c r="G9" s="3">
        <v>0</v>
      </c>
      <c r="H9" t="s">
        <v>268</v>
      </c>
      <c r="I9" s="3">
        <v>0</v>
      </c>
      <c r="J9" t="s">
        <v>268</v>
      </c>
      <c r="K9" s="3">
        <v>1.2539184952978055</v>
      </c>
      <c r="L9" t="s">
        <v>635</v>
      </c>
      <c r="M9" s="3">
        <v>0.31347962382445138</v>
      </c>
      <c r="N9" t="s">
        <v>210</v>
      </c>
      <c r="O9" s="3">
        <v>0</v>
      </c>
      <c r="P9" t="s">
        <v>156</v>
      </c>
    </row>
    <row r="10" spans="1:16">
      <c r="A10" t="s">
        <v>137</v>
      </c>
      <c r="B10">
        <v>150</v>
      </c>
      <c r="C10" s="3">
        <v>6.666666666666667</v>
      </c>
      <c r="D10" t="s">
        <v>636</v>
      </c>
      <c r="E10" s="3">
        <v>5.3333333333333339</v>
      </c>
      <c r="F10" t="s">
        <v>235</v>
      </c>
      <c r="G10" s="3">
        <v>2.666666666666667</v>
      </c>
      <c r="H10" t="s">
        <v>166</v>
      </c>
      <c r="I10" s="3">
        <v>0</v>
      </c>
      <c r="J10" t="s">
        <v>181</v>
      </c>
      <c r="K10" s="3">
        <v>1.3333333333333335</v>
      </c>
      <c r="L10" t="s">
        <v>247</v>
      </c>
      <c r="M10" s="3">
        <v>0</v>
      </c>
      <c r="N10" t="s">
        <v>170</v>
      </c>
      <c r="O10" s="3">
        <v>0</v>
      </c>
      <c r="P10" t="s">
        <v>170</v>
      </c>
    </row>
    <row r="11" spans="1:16">
      <c r="A11" t="s">
        <v>615</v>
      </c>
      <c r="B11">
        <v>302</v>
      </c>
      <c r="C11" s="3">
        <v>0</v>
      </c>
      <c r="D11" t="s">
        <v>162</v>
      </c>
      <c r="E11" s="3">
        <v>0</v>
      </c>
      <c r="F11" t="s">
        <v>162</v>
      </c>
      <c r="G11" s="3">
        <v>0</v>
      </c>
      <c r="H11" t="s">
        <v>268</v>
      </c>
      <c r="I11" s="3">
        <v>0</v>
      </c>
      <c r="J11" t="s">
        <v>268</v>
      </c>
      <c r="K11" s="3">
        <v>0</v>
      </c>
      <c r="L11" t="s">
        <v>162</v>
      </c>
      <c r="M11" s="3">
        <v>0</v>
      </c>
      <c r="N11" t="s">
        <v>162</v>
      </c>
      <c r="O11" s="3">
        <v>0</v>
      </c>
      <c r="P11" t="s">
        <v>162</v>
      </c>
    </row>
    <row r="12" spans="1:16">
      <c r="A12" t="s">
        <v>204</v>
      </c>
      <c r="B12">
        <v>318</v>
      </c>
      <c r="C12" s="3">
        <v>0.62893081761006298</v>
      </c>
      <c r="D12" t="s">
        <v>428</v>
      </c>
      <c r="E12" s="3">
        <v>0.31446540880503149</v>
      </c>
      <c r="F12" t="s">
        <v>210</v>
      </c>
      <c r="G12" s="3">
        <v>0</v>
      </c>
      <c r="H12" t="s">
        <v>268</v>
      </c>
      <c r="I12" s="3">
        <v>0</v>
      </c>
      <c r="J12" t="s">
        <v>268</v>
      </c>
      <c r="K12" s="3">
        <v>0.31446540880503149</v>
      </c>
      <c r="L12" t="s">
        <v>210</v>
      </c>
      <c r="M12" s="3">
        <v>0</v>
      </c>
      <c r="N12" t="s">
        <v>162</v>
      </c>
      <c r="O12" s="3">
        <v>0</v>
      </c>
      <c r="P12" t="s">
        <v>162</v>
      </c>
    </row>
    <row r="13" spans="1:16">
      <c r="A13" t="s">
        <v>128</v>
      </c>
      <c r="B13">
        <v>378</v>
      </c>
      <c r="C13" s="3">
        <v>3.1746031746031744</v>
      </c>
      <c r="D13" t="s">
        <v>637</v>
      </c>
      <c r="E13" s="3">
        <v>2.9100529100529098</v>
      </c>
      <c r="F13" t="s">
        <v>638</v>
      </c>
      <c r="G13" s="3"/>
      <c r="I13" s="3"/>
      <c r="K13" s="3">
        <v>0.26455026455026454</v>
      </c>
      <c r="L13" t="s">
        <v>328</v>
      </c>
      <c r="M13" s="3">
        <v>0</v>
      </c>
      <c r="N13" t="s">
        <v>193</v>
      </c>
      <c r="O13" s="3">
        <v>0</v>
      </c>
      <c r="P13" t="s">
        <v>194</v>
      </c>
    </row>
    <row r="14" spans="1:16">
      <c r="A14" t="s">
        <v>138</v>
      </c>
      <c r="B14">
        <v>66</v>
      </c>
      <c r="C14" s="3">
        <v>1.5151515151515151</v>
      </c>
      <c r="D14" t="s">
        <v>639</v>
      </c>
      <c r="E14" s="3">
        <v>1.5151515151515151</v>
      </c>
      <c r="F14" t="s">
        <v>639</v>
      </c>
      <c r="G14" s="3">
        <v>0</v>
      </c>
      <c r="H14" t="s">
        <v>640</v>
      </c>
      <c r="I14" s="3">
        <v>0</v>
      </c>
      <c r="J14" t="s">
        <v>640</v>
      </c>
      <c r="K14" s="3">
        <v>0</v>
      </c>
      <c r="L14" t="s">
        <v>641</v>
      </c>
      <c r="M14" s="3">
        <v>0</v>
      </c>
      <c r="N14" t="s">
        <v>641</v>
      </c>
      <c r="O14" s="3">
        <v>0</v>
      </c>
      <c r="P14" t="s">
        <v>641</v>
      </c>
    </row>
    <row r="15" spans="1:16">
      <c r="A15" t="s">
        <v>119</v>
      </c>
      <c r="B15">
        <v>330</v>
      </c>
      <c r="C15" s="3">
        <v>7.878787878787878</v>
      </c>
      <c r="D15" t="s">
        <v>642</v>
      </c>
      <c r="E15" s="3">
        <v>6.9696969696969688</v>
      </c>
      <c r="F15" t="s">
        <v>643</v>
      </c>
      <c r="G15" s="3">
        <v>1.8181818181818181</v>
      </c>
      <c r="H15" t="s">
        <v>644</v>
      </c>
      <c r="I15" s="3">
        <v>0</v>
      </c>
      <c r="J15" t="s">
        <v>483</v>
      </c>
      <c r="K15" s="3">
        <v>0.90909090909090906</v>
      </c>
      <c r="L15" t="s">
        <v>367</v>
      </c>
      <c r="M15" s="3">
        <v>0</v>
      </c>
      <c r="N15" t="s">
        <v>156</v>
      </c>
      <c r="O15" s="3">
        <v>0</v>
      </c>
      <c r="P15" t="s">
        <v>156</v>
      </c>
    </row>
    <row r="16" spans="1:16">
      <c r="A16" t="s">
        <v>129</v>
      </c>
      <c r="B16">
        <v>300</v>
      </c>
      <c r="C16" s="3">
        <v>4</v>
      </c>
      <c r="D16" t="s">
        <v>645</v>
      </c>
      <c r="E16" s="3">
        <v>1</v>
      </c>
      <c r="F16" t="s">
        <v>224</v>
      </c>
      <c r="G16" s="3">
        <v>0.33333333333333331</v>
      </c>
      <c r="H16" t="s">
        <v>375</v>
      </c>
      <c r="I16" s="3">
        <v>0.33333333333333331</v>
      </c>
      <c r="J16" t="s">
        <v>375</v>
      </c>
      <c r="K16" s="3">
        <v>3</v>
      </c>
      <c r="L16" t="s">
        <v>220</v>
      </c>
      <c r="M16" s="3">
        <v>0</v>
      </c>
      <c r="N16" t="s">
        <v>162</v>
      </c>
      <c r="O16" s="3">
        <v>0</v>
      </c>
      <c r="P16" t="s">
        <v>162</v>
      </c>
    </row>
    <row r="17" spans="1:16">
      <c r="A17" t="s">
        <v>120</v>
      </c>
      <c r="B17">
        <v>299</v>
      </c>
      <c r="C17" s="3">
        <v>6.3545150501672243</v>
      </c>
      <c r="D17" t="s">
        <v>373</v>
      </c>
      <c r="E17" s="3">
        <v>5.3511705685618729</v>
      </c>
      <c r="F17" t="s">
        <v>646</v>
      </c>
      <c r="G17" s="3"/>
      <c r="I17" s="3"/>
      <c r="K17" s="3">
        <v>1.0033444816053509</v>
      </c>
      <c r="L17" t="s">
        <v>224</v>
      </c>
      <c r="M17" s="3">
        <v>0</v>
      </c>
      <c r="N17" t="s">
        <v>162</v>
      </c>
      <c r="O17" s="3">
        <v>0</v>
      </c>
      <c r="P17" t="s">
        <v>162</v>
      </c>
    </row>
    <row r="18" spans="1:16">
      <c r="A18" t="s">
        <v>228</v>
      </c>
      <c r="B18">
        <v>150</v>
      </c>
      <c r="C18" s="3">
        <v>12.666666666666668</v>
      </c>
      <c r="D18" t="s">
        <v>647</v>
      </c>
      <c r="E18" s="3">
        <v>10.666666666666668</v>
      </c>
      <c r="F18" t="s">
        <v>648</v>
      </c>
      <c r="G18" s="3">
        <v>3.3333333333333335</v>
      </c>
      <c r="H18" t="s">
        <v>649</v>
      </c>
      <c r="I18" s="3">
        <v>0</v>
      </c>
      <c r="J18" t="s">
        <v>650</v>
      </c>
      <c r="K18" s="3">
        <v>2</v>
      </c>
      <c r="L18" t="s">
        <v>182</v>
      </c>
      <c r="M18" s="3">
        <v>0</v>
      </c>
      <c r="N18" t="s">
        <v>170</v>
      </c>
      <c r="O18" s="3">
        <v>0</v>
      </c>
      <c r="P18" t="s">
        <v>170</v>
      </c>
    </row>
    <row r="19" spans="1:16">
      <c r="A19" t="s">
        <v>233</v>
      </c>
      <c r="B19">
        <v>150</v>
      </c>
      <c r="C19" s="3">
        <v>4</v>
      </c>
      <c r="D19" t="s">
        <v>169</v>
      </c>
      <c r="E19" s="3">
        <v>4</v>
      </c>
      <c r="F19" t="s">
        <v>169</v>
      </c>
      <c r="G19" s="3">
        <v>0.66666666666666663</v>
      </c>
      <c r="H19" t="s">
        <v>236</v>
      </c>
      <c r="I19" s="3">
        <v>0</v>
      </c>
      <c r="J19" t="s">
        <v>650</v>
      </c>
      <c r="K19" s="3">
        <v>0</v>
      </c>
      <c r="L19" t="s">
        <v>170</v>
      </c>
      <c r="M19" s="3">
        <v>0</v>
      </c>
      <c r="N19" t="s">
        <v>170</v>
      </c>
      <c r="O19" s="3">
        <v>0</v>
      </c>
      <c r="P19" t="s">
        <v>170</v>
      </c>
    </row>
    <row r="20" spans="1:16">
      <c r="A20" t="s">
        <v>116</v>
      </c>
      <c r="B20">
        <v>73</v>
      </c>
      <c r="C20" s="3">
        <v>6.8493150684931505</v>
      </c>
      <c r="D20" t="s">
        <v>651</v>
      </c>
      <c r="E20" s="3">
        <v>4.10958904109589</v>
      </c>
      <c r="F20" t="s">
        <v>652</v>
      </c>
      <c r="G20" s="3">
        <v>0</v>
      </c>
      <c r="H20" t="s">
        <v>653</v>
      </c>
      <c r="I20" s="3">
        <v>0</v>
      </c>
      <c r="J20" t="s">
        <v>653</v>
      </c>
      <c r="K20" s="3">
        <v>2.7397260273972601</v>
      </c>
      <c r="L20" t="s">
        <v>654</v>
      </c>
      <c r="M20" s="3">
        <v>0</v>
      </c>
      <c r="N20" t="s">
        <v>655</v>
      </c>
      <c r="O20" s="3">
        <v>0</v>
      </c>
      <c r="P20" t="s">
        <v>655</v>
      </c>
    </row>
    <row r="21" spans="1:16">
      <c r="A21" t="s">
        <v>121</v>
      </c>
      <c r="B21">
        <v>150</v>
      </c>
      <c r="C21" s="3">
        <v>2.666666666666667</v>
      </c>
      <c r="D21" t="s">
        <v>493</v>
      </c>
      <c r="E21" s="3">
        <v>2.666666666666667</v>
      </c>
      <c r="F21" t="s">
        <v>493</v>
      </c>
      <c r="G21" s="3">
        <v>0</v>
      </c>
      <c r="H21" t="s">
        <v>181</v>
      </c>
      <c r="I21" s="3">
        <v>0</v>
      </c>
      <c r="J21" t="s">
        <v>181</v>
      </c>
      <c r="K21" s="3">
        <v>0</v>
      </c>
      <c r="L21" t="s">
        <v>170</v>
      </c>
      <c r="M21" s="3">
        <v>0</v>
      </c>
      <c r="N21" t="s">
        <v>170</v>
      </c>
      <c r="O21" s="3">
        <v>0</v>
      </c>
      <c r="P21" t="s">
        <v>170</v>
      </c>
    </row>
    <row r="22" spans="1:16">
      <c r="A22" t="s">
        <v>122</v>
      </c>
      <c r="B22">
        <v>291</v>
      </c>
      <c r="C22" s="3">
        <v>0.3436426116838488</v>
      </c>
      <c r="D22" t="s">
        <v>188</v>
      </c>
      <c r="E22" s="3">
        <v>0.3436426116838488</v>
      </c>
      <c r="F22" t="s">
        <v>188</v>
      </c>
      <c r="G22" s="3"/>
      <c r="I22" s="3"/>
      <c r="K22" s="3">
        <v>0</v>
      </c>
      <c r="L22" t="s">
        <v>348</v>
      </c>
      <c r="M22" s="3">
        <v>0</v>
      </c>
      <c r="N22" t="s">
        <v>348</v>
      </c>
      <c r="O22" s="3">
        <v>0</v>
      </c>
      <c r="P22" t="s">
        <v>348</v>
      </c>
    </row>
    <row r="23" spans="1:16">
      <c r="A23" t="s">
        <v>123</v>
      </c>
      <c r="B23">
        <v>310</v>
      </c>
      <c r="C23" s="3">
        <v>5.806451612903226</v>
      </c>
      <c r="D23" t="s">
        <v>656</v>
      </c>
      <c r="E23" s="3">
        <v>3.870967741935484</v>
      </c>
      <c r="F23" t="s">
        <v>657</v>
      </c>
      <c r="G23" s="3">
        <v>0.967741935483871</v>
      </c>
      <c r="H23" t="s">
        <v>658</v>
      </c>
      <c r="I23" s="3">
        <v>0</v>
      </c>
      <c r="J23" t="s">
        <v>268</v>
      </c>
      <c r="K23" s="3">
        <v>1.612903225806452</v>
      </c>
      <c r="L23" t="s">
        <v>160</v>
      </c>
      <c r="M23" s="3">
        <v>0.32258064516129031</v>
      </c>
      <c r="N23" t="s">
        <v>303</v>
      </c>
      <c r="O23" s="3">
        <v>0</v>
      </c>
      <c r="P23" t="s">
        <v>162</v>
      </c>
    </row>
    <row r="24" spans="1:16">
      <c r="A24" t="s">
        <v>139</v>
      </c>
      <c r="B24">
        <v>257</v>
      </c>
      <c r="C24" s="3">
        <v>15.175097276264591</v>
      </c>
      <c r="D24" t="s">
        <v>659</v>
      </c>
      <c r="E24" s="3">
        <v>12.451361867704279</v>
      </c>
      <c r="F24" t="s">
        <v>660</v>
      </c>
      <c r="G24" s="3">
        <v>3.1128404669260696</v>
      </c>
      <c r="H24" t="s">
        <v>661</v>
      </c>
      <c r="I24" s="3">
        <v>0</v>
      </c>
      <c r="J24" t="s">
        <v>362</v>
      </c>
      <c r="K24" s="3">
        <v>0.77821011673151741</v>
      </c>
      <c r="L24" t="s">
        <v>662</v>
      </c>
      <c r="M24" s="3">
        <v>1.9455252918287935</v>
      </c>
      <c r="N24" t="s">
        <v>663</v>
      </c>
      <c r="O24" s="3">
        <v>0</v>
      </c>
      <c r="P24" t="s">
        <v>364</v>
      </c>
    </row>
    <row r="25" spans="1:16">
      <c r="A25" t="s">
        <v>140</v>
      </c>
      <c r="B25">
        <v>312</v>
      </c>
      <c r="C25" s="3">
        <v>6.7307692307692308</v>
      </c>
      <c r="D25" t="s">
        <v>664</v>
      </c>
      <c r="E25" s="3">
        <v>5.4487179487179489</v>
      </c>
      <c r="F25" t="s">
        <v>665</v>
      </c>
      <c r="G25" s="3">
        <v>1.2820512820512819</v>
      </c>
      <c r="H25" t="s">
        <v>666</v>
      </c>
      <c r="I25" s="3">
        <v>0</v>
      </c>
      <c r="J25" t="s">
        <v>268</v>
      </c>
      <c r="K25" s="3">
        <v>1.2820512820512819</v>
      </c>
      <c r="L25" t="s">
        <v>623</v>
      </c>
      <c r="M25" s="3">
        <v>0</v>
      </c>
      <c r="N25" t="s">
        <v>162</v>
      </c>
      <c r="O25" s="3">
        <v>0</v>
      </c>
      <c r="P25" t="s">
        <v>162</v>
      </c>
    </row>
    <row r="26" spans="1:16">
      <c r="A26" t="s">
        <v>271</v>
      </c>
      <c r="B26">
        <v>149</v>
      </c>
      <c r="C26" s="3">
        <v>21.476510067114095</v>
      </c>
      <c r="D26" t="s">
        <v>667</v>
      </c>
      <c r="E26" s="3">
        <v>16.107382550335569</v>
      </c>
      <c r="F26" t="s">
        <v>668</v>
      </c>
      <c r="G26" s="3">
        <v>8.0536912751677843</v>
      </c>
      <c r="H26" t="s">
        <v>669</v>
      </c>
      <c r="I26" s="3">
        <v>0</v>
      </c>
      <c r="J26" t="s">
        <v>198</v>
      </c>
      <c r="K26" s="3">
        <v>5.3691275167785237</v>
      </c>
      <c r="L26" t="s">
        <v>670</v>
      </c>
      <c r="M26" s="3">
        <v>0</v>
      </c>
      <c r="N26" t="s">
        <v>170</v>
      </c>
      <c r="O26" s="3">
        <v>0</v>
      </c>
      <c r="P26" t="s">
        <v>170</v>
      </c>
    </row>
    <row r="27" spans="1:16">
      <c r="A27" t="s">
        <v>277</v>
      </c>
      <c r="B27">
        <v>153</v>
      </c>
      <c r="C27" s="3">
        <v>15.032679738562091</v>
      </c>
      <c r="D27" t="s">
        <v>671</v>
      </c>
      <c r="E27" s="3">
        <v>5.2287581699346397</v>
      </c>
      <c r="F27" t="s">
        <v>672</v>
      </c>
      <c r="G27" s="3">
        <v>2.6143790849673199</v>
      </c>
      <c r="H27" t="s">
        <v>673</v>
      </c>
      <c r="I27" s="3">
        <v>0</v>
      </c>
      <c r="J27" t="s">
        <v>181</v>
      </c>
      <c r="K27" s="3">
        <v>9.8039215686274517</v>
      </c>
      <c r="L27" t="s">
        <v>674</v>
      </c>
      <c r="M27" s="3">
        <v>0</v>
      </c>
      <c r="N27" t="s">
        <v>170</v>
      </c>
      <c r="O27" s="3">
        <v>0</v>
      </c>
      <c r="P27" t="s">
        <v>170</v>
      </c>
    </row>
    <row r="28" spans="1:16">
      <c r="A28" t="s">
        <v>130</v>
      </c>
      <c r="B28">
        <v>297</v>
      </c>
      <c r="C28" s="3">
        <v>6.3973063973063971</v>
      </c>
      <c r="D28" t="s">
        <v>675</v>
      </c>
      <c r="E28" s="3">
        <v>4.7138047138047137</v>
      </c>
      <c r="F28" t="s">
        <v>676</v>
      </c>
      <c r="G28" s="3">
        <v>2.0202020202020199</v>
      </c>
      <c r="H28" t="s">
        <v>673</v>
      </c>
      <c r="I28" s="3">
        <v>0</v>
      </c>
      <c r="J28" t="s">
        <v>268</v>
      </c>
      <c r="K28" s="3">
        <v>1.0101010101010099</v>
      </c>
      <c r="L28" t="s">
        <v>224</v>
      </c>
      <c r="M28" s="3">
        <v>0.67340067340067333</v>
      </c>
      <c r="N28" t="s">
        <v>270</v>
      </c>
      <c r="O28" s="3">
        <v>0</v>
      </c>
      <c r="P28" t="s">
        <v>162</v>
      </c>
    </row>
    <row r="29" spans="1:16">
      <c r="A29" t="s">
        <v>525</v>
      </c>
      <c r="B29">
        <v>298</v>
      </c>
      <c r="C29" s="3">
        <v>0</v>
      </c>
      <c r="D29" t="s">
        <v>162</v>
      </c>
      <c r="E29" s="3">
        <v>0</v>
      </c>
      <c r="F29" t="s">
        <v>162</v>
      </c>
      <c r="G29" s="3">
        <v>0</v>
      </c>
      <c r="H29" t="s">
        <v>268</v>
      </c>
      <c r="I29" s="3">
        <v>0</v>
      </c>
      <c r="J29" t="s">
        <v>268</v>
      </c>
      <c r="K29" s="3">
        <v>0</v>
      </c>
      <c r="L29" t="s">
        <v>162</v>
      </c>
      <c r="M29" s="3">
        <v>0</v>
      </c>
      <c r="N29" t="s">
        <v>162</v>
      </c>
      <c r="O29" s="3">
        <v>0</v>
      </c>
      <c r="P29" t="s">
        <v>162</v>
      </c>
    </row>
    <row r="30" spans="1:16" ht="14.65" thickBot="1">
      <c r="A30" s="5" t="s">
        <v>677</v>
      </c>
      <c r="B30" s="5">
        <v>96</v>
      </c>
      <c r="C30" s="7">
        <v>3.125</v>
      </c>
      <c r="D30" s="7" t="s">
        <v>678</v>
      </c>
      <c r="E30" s="7">
        <v>3.125</v>
      </c>
      <c r="F30" s="7" t="s">
        <v>678</v>
      </c>
      <c r="G30" s="7"/>
      <c r="H30" s="5"/>
      <c r="I30" s="7"/>
      <c r="J30" s="5"/>
      <c r="K30" s="7">
        <v>0</v>
      </c>
      <c r="L30" s="7" t="s">
        <v>563</v>
      </c>
      <c r="M30" s="7">
        <v>0</v>
      </c>
      <c r="N30" s="7" t="s">
        <v>563</v>
      </c>
      <c r="O30" s="7">
        <v>0</v>
      </c>
      <c r="P30" s="7" t="s">
        <v>563</v>
      </c>
    </row>
    <row r="31" spans="1:16" ht="14.65" thickBot="1">
      <c r="A31" s="4" t="s">
        <v>679</v>
      </c>
      <c r="B31" s="8">
        <f>SUM(B3:B30)</f>
        <v>6467</v>
      </c>
      <c r="C31" s="9">
        <v>5.4430184011133447</v>
      </c>
      <c r="D31" s="9" t="s">
        <v>680</v>
      </c>
      <c r="E31" s="9">
        <v>4.0822638008350083</v>
      </c>
      <c r="F31" s="9" t="s">
        <v>681</v>
      </c>
      <c r="G31" s="9">
        <v>1.3637379834562933</v>
      </c>
      <c r="H31" s="9" t="s">
        <v>682</v>
      </c>
      <c r="I31" s="9" t="s">
        <v>683</v>
      </c>
      <c r="J31" s="9" t="s">
        <v>317</v>
      </c>
      <c r="K31" s="9">
        <v>1.1906602752435442</v>
      </c>
      <c r="L31" s="9" t="s">
        <v>684</v>
      </c>
      <c r="M31" s="9">
        <v>0.17009432503479202</v>
      </c>
      <c r="N31" s="9" t="s">
        <v>685</v>
      </c>
      <c r="O31" s="9">
        <v>0</v>
      </c>
      <c r="P31" s="9" t="s">
        <v>297</v>
      </c>
    </row>
    <row r="32" spans="1:16">
      <c r="A32" t="s">
        <v>437</v>
      </c>
      <c r="B32">
        <v>283</v>
      </c>
      <c r="C32" s="3">
        <v>1.4134275618374559</v>
      </c>
      <c r="D32" t="s">
        <v>686</v>
      </c>
      <c r="E32" s="3">
        <v>0</v>
      </c>
      <c r="F32" t="s">
        <v>348</v>
      </c>
      <c r="G32" s="3"/>
      <c r="I32" s="3"/>
      <c r="K32" s="3">
        <v>1.4134275618374559</v>
      </c>
      <c r="L32" t="s">
        <v>686</v>
      </c>
      <c r="M32" s="3">
        <v>0</v>
      </c>
      <c r="N32" t="s">
        <v>348</v>
      </c>
      <c r="O32" s="3">
        <v>0</v>
      </c>
      <c r="P32" t="s">
        <v>348</v>
      </c>
    </row>
    <row r="33" spans="1:16" ht="14.65" thickBot="1">
      <c r="A33" s="5" t="s">
        <v>142</v>
      </c>
      <c r="B33" s="5">
        <v>309</v>
      </c>
      <c r="C33" s="7">
        <v>0.97087378640776689</v>
      </c>
      <c r="D33" s="7" t="s">
        <v>161</v>
      </c>
      <c r="E33" s="7">
        <v>0</v>
      </c>
      <c r="F33" s="7" t="s">
        <v>162</v>
      </c>
      <c r="G33" s="7">
        <v>0</v>
      </c>
      <c r="H33" s="7" t="s">
        <v>268</v>
      </c>
      <c r="I33" s="7">
        <v>0</v>
      </c>
      <c r="J33" s="7" t="s">
        <v>268</v>
      </c>
      <c r="K33" s="7">
        <v>0.97087378640776689</v>
      </c>
      <c r="L33" s="7" t="s">
        <v>161</v>
      </c>
      <c r="M33" s="7">
        <v>0</v>
      </c>
      <c r="N33" s="7" t="s">
        <v>162</v>
      </c>
      <c r="O33" s="7">
        <v>0</v>
      </c>
      <c r="P33" s="7" t="s">
        <v>162</v>
      </c>
    </row>
    <row r="34" spans="1:16" ht="14.65" thickBot="1">
      <c r="A34" s="4" t="s">
        <v>454</v>
      </c>
      <c r="B34" s="4">
        <v>592</v>
      </c>
      <c r="C34" s="9">
        <v>1.2</v>
      </c>
      <c r="D34" s="21" t="s">
        <v>687</v>
      </c>
      <c r="E34" s="9">
        <v>0</v>
      </c>
      <c r="F34" s="21" t="s">
        <v>310</v>
      </c>
      <c r="G34" s="9">
        <v>0</v>
      </c>
      <c r="H34" s="9" t="s">
        <v>268</v>
      </c>
      <c r="I34" s="9">
        <v>0</v>
      </c>
      <c r="J34" s="9" t="s">
        <v>268</v>
      </c>
      <c r="K34" s="9">
        <v>1.2</v>
      </c>
      <c r="L34" s="21" t="s">
        <v>687</v>
      </c>
      <c r="M34" s="9">
        <v>0</v>
      </c>
      <c r="N34" s="21" t="s">
        <v>310</v>
      </c>
      <c r="O34" s="9">
        <v>0</v>
      </c>
      <c r="P34" s="21" t="s">
        <v>310</v>
      </c>
    </row>
    <row r="35" spans="1:16" ht="14.65" thickBot="1">
      <c r="A35" s="4" t="s">
        <v>311</v>
      </c>
      <c r="B35" s="8">
        <v>7059</v>
      </c>
      <c r="C35" s="9">
        <v>5.0999999999999996</v>
      </c>
      <c r="D35" s="21" t="s">
        <v>688</v>
      </c>
      <c r="E35" s="9">
        <v>3.7</v>
      </c>
      <c r="F35" s="21" t="s">
        <v>689</v>
      </c>
      <c r="G35" s="9">
        <v>1.3</v>
      </c>
      <c r="H35" s="21" t="s">
        <v>690</v>
      </c>
      <c r="I35" s="9" t="s">
        <v>683</v>
      </c>
      <c r="J35" s="21" t="s">
        <v>317</v>
      </c>
      <c r="K35" s="9">
        <v>1.2</v>
      </c>
      <c r="L35" s="21" t="s">
        <v>691</v>
      </c>
      <c r="M35" s="9">
        <v>0.2</v>
      </c>
      <c r="N35" s="21" t="s">
        <v>692</v>
      </c>
      <c r="O35" s="9">
        <v>0</v>
      </c>
      <c r="P35" s="21" t="s">
        <v>317</v>
      </c>
    </row>
    <row r="37" spans="1:16">
      <c r="A37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1"/>
  <dimension ref="A1:P34"/>
  <sheetViews>
    <sheetView workbookViewId="0">
      <selection activeCell="B7" sqref="A1:P32"/>
    </sheetView>
  </sheetViews>
  <sheetFormatPr defaultColWidth="10.7109375" defaultRowHeight="14.25"/>
  <cols>
    <col min="1" max="1" width="32.5703125" bestFit="1" customWidth="1"/>
    <col min="4" max="4" width="12.5703125" bestFit="1" customWidth="1"/>
    <col min="8" max="8" width="13.42578125" customWidth="1"/>
    <col min="10" max="10" width="12.5703125" customWidth="1"/>
    <col min="12" max="12" width="11.5703125" bestFit="1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619</v>
      </c>
      <c r="B3" s="2">
        <v>15</v>
      </c>
      <c r="C3" s="2">
        <v>15</v>
      </c>
      <c r="D3" s="3">
        <f>(C3/B3)*100</f>
        <v>100</v>
      </c>
      <c r="E3" s="2">
        <v>14</v>
      </c>
      <c r="F3" s="3">
        <f>(E3/B3)*100</f>
        <v>93.333333333333329</v>
      </c>
      <c r="K3" s="2">
        <v>1</v>
      </c>
      <c r="L3" s="3">
        <f>(K3/B3)*100</f>
        <v>6.666666666666667</v>
      </c>
      <c r="M3" s="2">
        <v>0</v>
      </c>
      <c r="N3" s="3">
        <f>(M3/B3)*100</f>
        <v>0</v>
      </c>
      <c r="O3" s="2">
        <v>0</v>
      </c>
      <c r="P3" s="3">
        <f>(O3/B3)*100</f>
        <v>0</v>
      </c>
    </row>
    <row r="4" spans="1:16">
      <c r="A4" t="s">
        <v>621</v>
      </c>
      <c r="B4" s="2">
        <v>6</v>
      </c>
      <c r="C4" s="2">
        <v>6</v>
      </c>
      <c r="D4" s="3">
        <f t="shared" ref="D4:D29" si="0">(C4/B4)*100</f>
        <v>100</v>
      </c>
      <c r="E4" s="2">
        <v>4</v>
      </c>
      <c r="F4" s="3">
        <f t="shared" ref="F4:F29" si="1">(E4/B4)*100</f>
        <v>66.666666666666657</v>
      </c>
      <c r="K4" s="2">
        <v>2</v>
      </c>
      <c r="L4" s="3">
        <f t="shared" ref="L4:L29" si="2">(K4/B4)*100</f>
        <v>33.333333333333329</v>
      </c>
      <c r="M4" s="2">
        <v>0</v>
      </c>
      <c r="N4" s="3">
        <f t="shared" ref="N4:N29" si="3">(M4/B4)*100</f>
        <v>0</v>
      </c>
      <c r="O4" s="2">
        <v>0</v>
      </c>
      <c r="P4" s="3">
        <f t="shared" ref="P4:P29" si="4">(O4/B4)*100</f>
        <v>0</v>
      </c>
    </row>
    <row r="5" spans="1:16">
      <c r="A5" t="s">
        <v>163</v>
      </c>
      <c r="B5" s="2">
        <v>12</v>
      </c>
      <c r="C5" s="2">
        <v>12</v>
      </c>
      <c r="D5" s="3">
        <f t="shared" si="0"/>
        <v>100</v>
      </c>
      <c r="E5" s="2">
        <v>10</v>
      </c>
      <c r="F5" s="3">
        <f t="shared" si="1"/>
        <v>83.333333333333343</v>
      </c>
      <c r="G5">
        <v>7</v>
      </c>
      <c r="H5" s="3">
        <f>(G5/B5)*100</f>
        <v>58.333333333333336</v>
      </c>
      <c r="I5">
        <v>0</v>
      </c>
      <c r="J5" s="3">
        <f>(I5/B5)*100</f>
        <v>0</v>
      </c>
      <c r="K5" s="2">
        <v>0</v>
      </c>
      <c r="L5" s="3">
        <f t="shared" si="2"/>
        <v>0</v>
      </c>
      <c r="M5" s="2">
        <v>2</v>
      </c>
      <c r="N5" s="3">
        <f t="shared" si="3"/>
        <v>16.666666666666664</v>
      </c>
      <c r="O5" s="2">
        <v>0</v>
      </c>
      <c r="P5" s="3">
        <f t="shared" si="4"/>
        <v>0</v>
      </c>
    </row>
    <row r="6" spans="1:16">
      <c r="A6" t="s">
        <v>171</v>
      </c>
      <c r="B6" s="2">
        <v>6</v>
      </c>
      <c r="C6" s="2">
        <v>6</v>
      </c>
      <c r="D6" s="3">
        <f t="shared" si="0"/>
        <v>100</v>
      </c>
      <c r="E6" s="2">
        <v>6</v>
      </c>
      <c r="F6" s="3">
        <f t="shared" si="1"/>
        <v>100</v>
      </c>
      <c r="G6">
        <v>0</v>
      </c>
      <c r="H6" s="3">
        <f t="shared" ref="H6:H28" si="5">(G6/B6)*100</f>
        <v>0</v>
      </c>
      <c r="I6">
        <v>0</v>
      </c>
      <c r="J6" s="3">
        <f t="shared" ref="J6:J28" si="6">(I6/B6)*100</f>
        <v>0</v>
      </c>
      <c r="K6" s="2">
        <v>0</v>
      </c>
      <c r="L6" s="3">
        <f t="shared" si="2"/>
        <v>0</v>
      </c>
      <c r="M6" s="2">
        <v>0</v>
      </c>
      <c r="N6" s="3">
        <f t="shared" si="3"/>
        <v>0</v>
      </c>
      <c r="O6" s="2">
        <v>0</v>
      </c>
      <c r="P6" s="3">
        <f t="shared" si="4"/>
        <v>0</v>
      </c>
    </row>
    <row r="7" spans="1:16">
      <c r="A7" t="s">
        <v>184</v>
      </c>
      <c r="B7" s="2">
        <v>26</v>
      </c>
      <c r="C7" s="2">
        <v>26</v>
      </c>
      <c r="D7" s="3">
        <f t="shared" si="0"/>
        <v>100</v>
      </c>
      <c r="E7" s="2">
        <v>17</v>
      </c>
      <c r="F7" s="3">
        <f t="shared" si="1"/>
        <v>65.384615384615387</v>
      </c>
      <c r="J7" s="3"/>
      <c r="K7" s="2">
        <v>9</v>
      </c>
      <c r="L7" s="3">
        <f t="shared" si="2"/>
        <v>34.615384615384613</v>
      </c>
      <c r="M7" s="2">
        <v>0</v>
      </c>
      <c r="N7" s="3">
        <f t="shared" si="3"/>
        <v>0</v>
      </c>
      <c r="O7" s="2">
        <v>0</v>
      </c>
      <c r="P7" s="3">
        <f t="shared" si="4"/>
        <v>0</v>
      </c>
    </row>
    <row r="8" spans="1:16">
      <c r="A8" t="s">
        <v>136</v>
      </c>
      <c r="B8" s="2">
        <v>14</v>
      </c>
      <c r="C8" s="2">
        <v>14</v>
      </c>
      <c r="D8" s="3">
        <f t="shared" si="0"/>
        <v>100</v>
      </c>
      <c r="E8" s="2">
        <v>9</v>
      </c>
      <c r="F8" s="3">
        <f t="shared" si="1"/>
        <v>64.285714285714292</v>
      </c>
      <c r="G8">
        <v>0</v>
      </c>
      <c r="H8" s="3">
        <f t="shared" si="5"/>
        <v>0</v>
      </c>
      <c r="I8">
        <v>0</v>
      </c>
      <c r="J8" s="3">
        <f t="shared" si="6"/>
        <v>0</v>
      </c>
      <c r="K8" s="2">
        <v>4</v>
      </c>
      <c r="L8" s="3">
        <f t="shared" si="2"/>
        <v>28.571428571428569</v>
      </c>
      <c r="M8" s="2">
        <v>1</v>
      </c>
      <c r="N8" s="3">
        <f t="shared" si="3"/>
        <v>7.1428571428571423</v>
      </c>
      <c r="O8" s="2">
        <v>0</v>
      </c>
      <c r="P8" s="3">
        <f t="shared" si="4"/>
        <v>0</v>
      </c>
    </row>
    <row r="9" spans="1:16">
      <c r="A9" t="s">
        <v>137</v>
      </c>
      <c r="B9" s="2">
        <v>10</v>
      </c>
      <c r="C9" s="2">
        <v>10</v>
      </c>
      <c r="D9" s="3">
        <f t="shared" si="0"/>
        <v>100</v>
      </c>
      <c r="E9" s="2">
        <v>8</v>
      </c>
      <c r="F9" s="3">
        <f t="shared" si="1"/>
        <v>80</v>
      </c>
      <c r="G9">
        <v>4</v>
      </c>
      <c r="H9" s="3">
        <f t="shared" si="5"/>
        <v>40</v>
      </c>
      <c r="I9">
        <v>0</v>
      </c>
      <c r="J9" s="3">
        <f t="shared" si="6"/>
        <v>0</v>
      </c>
      <c r="K9" s="2">
        <v>2</v>
      </c>
      <c r="L9" s="3">
        <f t="shared" si="2"/>
        <v>20</v>
      </c>
      <c r="M9" s="2">
        <v>0</v>
      </c>
      <c r="N9" s="3">
        <f t="shared" si="3"/>
        <v>0</v>
      </c>
      <c r="O9" s="2">
        <v>0</v>
      </c>
      <c r="P9" s="3">
        <f t="shared" si="4"/>
        <v>0</v>
      </c>
    </row>
    <row r="10" spans="1:16">
      <c r="A10" t="s">
        <v>204</v>
      </c>
      <c r="B10" s="2">
        <v>2</v>
      </c>
      <c r="C10" s="2">
        <v>2</v>
      </c>
      <c r="D10" s="3">
        <f t="shared" si="0"/>
        <v>100</v>
      </c>
      <c r="E10" s="2">
        <v>1</v>
      </c>
      <c r="F10" s="3">
        <f t="shared" si="1"/>
        <v>50</v>
      </c>
      <c r="G10">
        <v>0</v>
      </c>
      <c r="H10" s="3">
        <f t="shared" si="5"/>
        <v>0</v>
      </c>
      <c r="I10">
        <v>0</v>
      </c>
      <c r="J10" s="3">
        <f t="shared" si="6"/>
        <v>0</v>
      </c>
      <c r="K10" s="2">
        <v>1</v>
      </c>
      <c r="L10" s="3">
        <f t="shared" si="2"/>
        <v>50</v>
      </c>
      <c r="M10" s="2">
        <v>0</v>
      </c>
      <c r="N10" s="3">
        <f t="shared" si="3"/>
        <v>0</v>
      </c>
      <c r="O10" s="2">
        <v>0</v>
      </c>
      <c r="P10" s="3">
        <f t="shared" si="4"/>
        <v>0</v>
      </c>
    </row>
    <row r="11" spans="1:16">
      <c r="A11" t="s">
        <v>128</v>
      </c>
      <c r="B11" s="2">
        <v>12</v>
      </c>
      <c r="C11" s="2">
        <v>12</v>
      </c>
      <c r="D11" s="3">
        <f t="shared" si="0"/>
        <v>100</v>
      </c>
      <c r="E11" s="2">
        <v>11</v>
      </c>
      <c r="F11" s="3">
        <f t="shared" si="1"/>
        <v>91.666666666666657</v>
      </c>
      <c r="J11" s="3"/>
      <c r="K11" s="2">
        <v>1</v>
      </c>
      <c r="L11" s="3">
        <f t="shared" si="2"/>
        <v>8.3333333333333321</v>
      </c>
      <c r="M11" s="2">
        <v>0</v>
      </c>
      <c r="N11" s="3">
        <f t="shared" si="3"/>
        <v>0</v>
      </c>
      <c r="O11" s="2">
        <v>0</v>
      </c>
      <c r="P11" s="3">
        <f t="shared" si="4"/>
        <v>0</v>
      </c>
    </row>
    <row r="12" spans="1:16">
      <c r="A12" t="s">
        <v>138</v>
      </c>
      <c r="B12" s="2">
        <v>1</v>
      </c>
      <c r="C12" s="2">
        <v>1</v>
      </c>
      <c r="D12" s="3">
        <f t="shared" si="0"/>
        <v>100</v>
      </c>
      <c r="E12" s="2">
        <v>1</v>
      </c>
      <c r="F12" s="3">
        <f t="shared" si="1"/>
        <v>100</v>
      </c>
      <c r="G12">
        <v>0</v>
      </c>
      <c r="H12" s="3">
        <f t="shared" si="5"/>
        <v>0</v>
      </c>
      <c r="I12">
        <v>0</v>
      </c>
      <c r="J12" s="3">
        <f t="shared" si="6"/>
        <v>0</v>
      </c>
      <c r="K12" s="2">
        <v>0</v>
      </c>
      <c r="L12" s="3">
        <f t="shared" si="2"/>
        <v>0</v>
      </c>
      <c r="M12" s="2">
        <v>0</v>
      </c>
      <c r="N12" s="3">
        <f t="shared" si="3"/>
        <v>0</v>
      </c>
      <c r="O12" s="2">
        <v>0</v>
      </c>
      <c r="P12" s="3">
        <f t="shared" si="4"/>
        <v>0</v>
      </c>
    </row>
    <row r="13" spans="1:16">
      <c r="A13" t="s">
        <v>119</v>
      </c>
      <c r="B13" s="2">
        <v>26</v>
      </c>
      <c r="C13" s="2">
        <v>26</v>
      </c>
      <c r="D13" s="3">
        <f t="shared" si="0"/>
        <v>100</v>
      </c>
      <c r="E13" s="2">
        <v>23</v>
      </c>
      <c r="F13" s="3">
        <f t="shared" si="1"/>
        <v>88.461538461538453</v>
      </c>
      <c r="G13">
        <v>6</v>
      </c>
      <c r="H13" s="3">
        <f t="shared" si="5"/>
        <v>23.076923076923077</v>
      </c>
      <c r="I13">
        <v>0</v>
      </c>
      <c r="J13" s="3">
        <f t="shared" si="6"/>
        <v>0</v>
      </c>
      <c r="K13" s="2">
        <v>3</v>
      </c>
      <c r="L13" s="3">
        <f t="shared" si="2"/>
        <v>11.538461538461538</v>
      </c>
      <c r="M13" s="2">
        <v>0</v>
      </c>
      <c r="N13" s="3">
        <f t="shared" si="3"/>
        <v>0</v>
      </c>
      <c r="O13" s="2">
        <v>0</v>
      </c>
      <c r="P13" s="3">
        <f t="shared" si="4"/>
        <v>0</v>
      </c>
    </row>
    <row r="14" spans="1:16">
      <c r="A14" t="s">
        <v>129</v>
      </c>
      <c r="B14" s="2">
        <v>12</v>
      </c>
      <c r="C14" s="2">
        <v>12</v>
      </c>
      <c r="D14" s="3">
        <f t="shared" si="0"/>
        <v>100</v>
      </c>
      <c r="E14" s="2">
        <v>3</v>
      </c>
      <c r="F14" s="3">
        <f t="shared" si="1"/>
        <v>25</v>
      </c>
      <c r="G14">
        <v>1</v>
      </c>
      <c r="H14" s="3">
        <f t="shared" si="5"/>
        <v>8.3333333333333321</v>
      </c>
      <c r="I14">
        <v>1</v>
      </c>
      <c r="J14" s="3">
        <f t="shared" si="6"/>
        <v>8.3333333333333321</v>
      </c>
      <c r="K14" s="2">
        <v>9</v>
      </c>
      <c r="L14" s="3">
        <f t="shared" si="2"/>
        <v>75</v>
      </c>
      <c r="M14" s="2">
        <v>0</v>
      </c>
      <c r="N14" s="3">
        <f t="shared" si="3"/>
        <v>0</v>
      </c>
      <c r="O14" s="2">
        <v>0</v>
      </c>
      <c r="P14" s="3">
        <f t="shared" si="4"/>
        <v>0</v>
      </c>
    </row>
    <row r="15" spans="1:16">
      <c r="A15" t="s">
        <v>120</v>
      </c>
      <c r="B15" s="2">
        <v>19</v>
      </c>
      <c r="C15" s="2">
        <v>19</v>
      </c>
      <c r="D15" s="3">
        <f t="shared" si="0"/>
        <v>100</v>
      </c>
      <c r="E15" s="2">
        <v>16</v>
      </c>
      <c r="F15" s="3">
        <f t="shared" si="1"/>
        <v>84.210526315789465</v>
      </c>
      <c r="J15" s="3"/>
      <c r="K15" s="2">
        <v>3</v>
      </c>
      <c r="L15" s="3">
        <f t="shared" si="2"/>
        <v>15.789473684210526</v>
      </c>
      <c r="M15" s="2">
        <v>0</v>
      </c>
      <c r="N15" s="3">
        <f t="shared" si="3"/>
        <v>0</v>
      </c>
      <c r="O15" s="2">
        <v>0</v>
      </c>
      <c r="P15" s="3">
        <f t="shared" si="4"/>
        <v>0</v>
      </c>
    </row>
    <row r="16" spans="1:16">
      <c r="A16" t="s">
        <v>228</v>
      </c>
      <c r="B16" s="2">
        <v>19</v>
      </c>
      <c r="C16" s="2">
        <v>19</v>
      </c>
      <c r="D16" s="3">
        <f t="shared" si="0"/>
        <v>100</v>
      </c>
      <c r="E16" s="2">
        <v>16</v>
      </c>
      <c r="F16" s="3">
        <f t="shared" si="1"/>
        <v>84.210526315789465</v>
      </c>
      <c r="G16">
        <v>5</v>
      </c>
      <c r="H16" s="3">
        <f t="shared" si="5"/>
        <v>26.315789473684209</v>
      </c>
      <c r="I16">
        <v>0</v>
      </c>
      <c r="J16" s="3">
        <f t="shared" si="6"/>
        <v>0</v>
      </c>
      <c r="K16" s="2">
        <v>3</v>
      </c>
      <c r="L16" s="3">
        <f t="shared" si="2"/>
        <v>15.789473684210526</v>
      </c>
      <c r="M16" s="2">
        <v>0</v>
      </c>
      <c r="N16" s="3">
        <f t="shared" si="3"/>
        <v>0</v>
      </c>
      <c r="O16" s="2">
        <v>0</v>
      </c>
      <c r="P16" s="3">
        <f t="shared" si="4"/>
        <v>0</v>
      </c>
    </row>
    <row r="17" spans="1:16">
      <c r="A17" t="s">
        <v>233</v>
      </c>
      <c r="B17" s="2">
        <v>6</v>
      </c>
      <c r="C17" s="2">
        <v>6</v>
      </c>
      <c r="D17" s="3">
        <f t="shared" si="0"/>
        <v>100</v>
      </c>
      <c r="E17" s="2">
        <v>6</v>
      </c>
      <c r="F17" s="3">
        <f t="shared" si="1"/>
        <v>100</v>
      </c>
      <c r="G17">
        <v>1</v>
      </c>
      <c r="H17" s="3">
        <f t="shared" si="5"/>
        <v>16.666666666666664</v>
      </c>
      <c r="I17">
        <v>0</v>
      </c>
      <c r="J17" s="3">
        <f t="shared" si="6"/>
        <v>0</v>
      </c>
      <c r="K17" s="2">
        <v>0</v>
      </c>
      <c r="L17" s="3">
        <f t="shared" si="2"/>
        <v>0</v>
      </c>
      <c r="M17" s="2">
        <v>0</v>
      </c>
      <c r="N17" s="3">
        <f t="shared" si="3"/>
        <v>0</v>
      </c>
      <c r="O17" s="2">
        <v>0</v>
      </c>
      <c r="P17" s="3">
        <f t="shared" si="4"/>
        <v>0</v>
      </c>
    </row>
    <row r="18" spans="1:16">
      <c r="A18" t="s">
        <v>116</v>
      </c>
      <c r="B18" s="2">
        <v>5</v>
      </c>
      <c r="C18" s="2">
        <v>5</v>
      </c>
      <c r="D18" s="3">
        <f t="shared" si="0"/>
        <v>100</v>
      </c>
      <c r="E18" s="2">
        <v>3</v>
      </c>
      <c r="F18" s="3">
        <f t="shared" si="1"/>
        <v>60</v>
      </c>
      <c r="G18">
        <v>0</v>
      </c>
      <c r="H18" s="3">
        <f t="shared" si="5"/>
        <v>0</v>
      </c>
      <c r="I18">
        <v>0</v>
      </c>
      <c r="J18" s="3">
        <f t="shared" si="6"/>
        <v>0</v>
      </c>
      <c r="K18" s="2">
        <v>2</v>
      </c>
      <c r="L18" s="3">
        <f t="shared" si="2"/>
        <v>40</v>
      </c>
      <c r="M18" s="2">
        <v>0</v>
      </c>
      <c r="N18" s="3">
        <f t="shared" si="3"/>
        <v>0</v>
      </c>
      <c r="O18" s="2">
        <v>0</v>
      </c>
      <c r="P18" s="3">
        <f t="shared" si="4"/>
        <v>0</v>
      </c>
    </row>
    <row r="19" spans="1:16">
      <c r="A19" t="s">
        <v>121</v>
      </c>
      <c r="B19" s="2">
        <v>4</v>
      </c>
      <c r="C19" s="2">
        <v>4</v>
      </c>
      <c r="D19" s="3">
        <f t="shared" si="0"/>
        <v>100</v>
      </c>
      <c r="E19" s="2">
        <v>4</v>
      </c>
      <c r="F19" s="3">
        <f t="shared" si="1"/>
        <v>100</v>
      </c>
      <c r="G19">
        <v>0</v>
      </c>
      <c r="H19" s="3">
        <f t="shared" si="5"/>
        <v>0</v>
      </c>
      <c r="I19">
        <v>0</v>
      </c>
      <c r="J19" s="3">
        <f t="shared" si="6"/>
        <v>0</v>
      </c>
      <c r="K19" s="2">
        <v>0</v>
      </c>
      <c r="L19" s="3">
        <f t="shared" si="2"/>
        <v>0</v>
      </c>
      <c r="M19" s="2">
        <v>0</v>
      </c>
      <c r="N19" s="3">
        <f t="shared" si="3"/>
        <v>0</v>
      </c>
      <c r="O19" s="2">
        <v>0</v>
      </c>
      <c r="P19" s="3">
        <f t="shared" si="4"/>
        <v>0</v>
      </c>
    </row>
    <row r="20" spans="1:16">
      <c r="A20" t="s">
        <v>122</v>
      </c>
      <c r="B20" s="2">
        <v>1</v>
      </c>
      <c r="C20" s="2">
        <v>1</v>
      </c>
      <c r="D20" s="3">
        <f t="shared" si="0"/>
        <v>100</v>
      </c>
      <c r="E20" s="2">
        <v>1</v>
      </c>
      <c r="F20" s="3">
        <f t="shared" si="1"/>
        <v>100</v>
      </c>
      <c r="J20" s="3"/>
      <c r="K20" s="2">
        <v>0</v>
      </c>
      <c r="L20" s="3">
        <f t="shared" si="2"/>
        <v>0</v>
      </c>
      <c r="M20" s="2">
        <v>0</v>
      </c>
      <c r="N20" s="3">
        <f t="shared" si="3"/>
        <v>0</v>
      </c>
      <c r="O20" s="2">
        <v>0</v>
      </c>
      <c r="P20" s="3">
        <f t="shared" si="4"/>
        <v>0</v>
      </c>
    </row>
    <row r="21" spans="1:16">
      <c r="A21" t="s">
        <v>123</v>
      </c>
      <c r="B21" s="2">
        <v>18</v>
      </c>
      <c r="C21" s="2">
        <v>18</v>
      </c>
      <c r="D21" s="3">
        <f t="shared" si="0"/>
        <v>100</v>
      </c>
      <c r="E21" s="2">
        <v>12</v>
      </c>
      <c r="F21" s="3">
        <f t="shared" si="1"/>
        <v>66.666666666666657</v>
      </c>
      <c r="G21">
        <v>3</v>
      </c>
      <c r="H21" s="3">
        <f t="shared" si="5"/>
        <v>16.666666666666664</v>
      </c>
      <c r="I21">
        <v>0</v>
      </c>
      <c r="J21" s="3">
        <f t="shared" si="6"/>
        <v>0</v>
      </c>
      <c r="K21" s="2">
        <v>5</v>
      </c>
      <c r="L21" s="3">
        <f t="shared" si="2"/>
        <v>27.777777777777779</v>
      </c>
      <c r="M21" s="2">
        <v>1</v>
      </c>
      <c r="N21" s="3">
        <f t="shared" si="3"/>
        <v>5.5555555555555554</v>
      </c>
      <c r="O21" s="2">
        <v>0</v>
      </c>
      <c r="P21" s="3">
        <f t="shared" si="4"/>
        <v>0</v>
      </c>
    </row>
    <row r="22" spans="1:16">
      <c r="A22" t="s">
        <v>139</v>
      </c>
      <c r="B22" s="2">
        <v>39</v>
      </c>
      <c r="C22" s="2">
        <v>39</v>
      </c>
      <c r="D22" s="3">
        <f t="shared" si="0"/>
        <v>100</v>
      </c>
      <c r="E22" s="2">
        <v>32</v>
      </c>
      <c r="F22" s="3">
        <f t="shared" si="1"/>
        <v>82.051282051282044</v>
      </c>
      <c r="G22">
        <v>8</v>
      </c>
      <c r="H22" s="3">
        <f t="shared" si="5"/>
        <v>20.512820512820511</v>
      </c>
      <c r="I22">
        <v>0</v>
      </c>
      <c r="J22" s="3">
        <f t="shared" si="6"/>
        <v>0</v>
      </c>
      <c r="K22" s="2">
        <v>2</v>
      </c>
      <c r="L22" s="3">
        <f t="shared" si="2"/>
        <v>5.1282051282051277</v>
      </c>
      <c r="M22" s="2">
        <v>5</v>
      </c>
      <c r="N22" s="3">
        <f t="shared" si="3"/>
        <v>12.820512820512819</v>
      </c>
      <c r="O22" s="2">
        <v>0</v>
      </c>
      <c r="P22" s="3">
        <f t="shared" si="4"/>
        <v>0</v>
      </c>
    </row>
    <row r="23" spans="1:16">
      <c r="A23" t="s">
        <v>140</v>
      </c>
      <c r="B23" s="2">
        <v>21</v>
      </c>
      <c r="C23" s="2">
        <v>21</v>
      </c>
      <c r="D23" s="3">
        <f t="shared" si="0"/>
        <v>100</v>
      </c>
      <c r="E23" s="2">
        <v>17</v>
      </c>
      <c r="F23" s="3">
        <f t="shared" si="1"/>
        <v>80.952380952380949</v>
      </c>
      <c r="G23">
        <v>4</v>
      </c>
      <c r="H23" s="3">
        <f t="shared" si="5"/>
        <v>19.047619047619047</v>
      </c>
      <c r="I23">
        <v>0</v>
      </c>
      <c r="J23" s="3">
        <f t="shared" si="6"/>
        <v>0</v>
      </c>
      <c r="K23" s="2">
        <v>4</v>
      </c>
      <c r="L23" s="3">
        <f t="shared" si="2"/>
        <v>19.047619047619047</v>
      </c>
      <c r="M23" s="2">
        <v>0</v>
      </c>
      <c r="N23" s="3">
        <f t="shared" si="3"/>
        <v>0</v>
      </c>
      <c r="O23" s="2">
        <v>0</v>
      </c>
      <c r="P23" s="3">
        <f t="shared" si="4"/>
        <v>0</v>
      </c>
    </row>
    <row r="24" spans="1:16">
      <c r="A24" t="s">
        <v>271</v>
      </c>
      <c r="B24" s="2">
        <v>32</v>
      </c>
      <c r="C24" s="2">
        <v>32</v>
      </c>
      <c r="D24" s="3">
        <f t="shared" si="0"/>
        <v>100</v>
      </c>
      <c r="E24" s="2">
        <v>24</v>
      </c>
      <c r="F24" s="3">
        <f t="shared" si="1"/>
        <v>75</v>
      </c>
      <c r="G24">
        <v>12</v>
      </c>
      <c r="H24" s="3">
        <f t="shared" si="5"/>
        <v>37.5</v>
      </c>
      <c r="I24">
        <v>0</v>
      </c>
      <c r="J24" s="3">
        <f t="shared" si="6"/>
        <v>0</v>
      </c>
      <c r="K24" s="2">
        <v>8</v>
      </c>
      <c r="L24" s="3">
        <f t="shared" si="2"/>
        <v>25</v>
      </c>
      <c r="M24" s="2">
        <v>0</v>
      </c>
      <c r="N24" s="3">
        <f t="shared" si="3"/>
        <v>0</v>
      </c>
      <c r="O24" s="2">
        <v>0</v>
      </c>
      <c r="P24" s="3">
        <f t="shared" si="4"/>
        <v>0</v>
      </c>
    </row>
    <row r="25" spans="1:16">
      <c r="A25" t="s">
        <v>277</v>
      </c>
      <c r="B25" s="2">
        <v>23</v>
      </c>
      <c r="C25" s="2">
        <v>23</v>
      </c>
      <c r="D25" s="3">
        <f t="shared" si="0"/>
        <v>100</v>
      </c>
      <c r="E25" s="2">
        <v>8</v>
      </c>
      <c r="F25" s="3">
        <f t="shared" si="1"/>
        <v>34.782608695652172</v>
      </c>
      <c r="G25">
        <v>4</v>
      </c>
      <c r="H25" s="3">
        <f t="shared" si="5"/>
        <v>17.391304347826086</v>
      </c>
      <c r="I25">
        <v>0</v>
      </c>
      <c r="J25" s="3">
        <f t="shared" si="6"/>
        <v>0</v>
      </c>
      <c r="K25" s="2">
        <v>15</v>
      </c>
      <c r="L25" s="3">
        <f t="shared" si="2"/>
        <v>65.217391304347828</v>
      </c>
      <c r="M25" s="2">
        <v>0</v>
      </c>
      <c r="N25" s="3">
        <f t="shared" si="3"/>
        <v>0</v>
      </c>
      <c r="O25" s="2">
        <v>0</v>
      </c>
      <c r="P25" s="3">
        <f t="shared" si="4"/>
        <v>0</v>
      </c>
    </row>
    <row r="26" spans="1:16">
      <c r="A26" t="s">
        <v>130</v>
      </c>
      <c r="B26" s="2">
        <v>19</v>
      </c>
      <c r="C26" s="2">
        <v>19</v>
      </c>
      <c r="D26" s="3">
        <f t="shared" si="0"/>
        <v>100</v>
      </c>
      <c r="E26" s="2">
        <v>14</v>
      </c>
      <c r="F26" s="3">
        <f t="shared" si="1"/>
        <v>73.68421052631578</v>
      </c>
      <c r="G26">
        <v>6</v>
      </c>
      <c r="H26" s="3">
        <f t="shared" si="5"/>
        <v>31.578947368421051</v>
      </c>
      <c r="I26">
        <v>0</v>
      </c>
      <c r="J26" s="3">
        <f t="shared" si="6"/>
        <v>0</v>
      </c>
      <c r="K26" s="2">
        <v>3</v>
      </c>
      <c r="L26" s="3">
        <f t="shared" si="2"/>
        <v>15.789473684210526</v>
      </c>
      <c r="M26" s="2">
        <v>2</v>
      </c>
      <c r="N26" s="3">
        <f t="shared" si="3"/>
        <v>10.526315789473683</v>
      </c>
      <c r="O26" s="2">
        <v>0</v>
      </c>
      <c r="P26" s="3">
        <f t="shared" si="4"/>
        <v>0</v>
      </c>
    </row>
    <row r="27" spans="1:16" ht="14.65" thickBot="1">
      <c r="A27" s="5" t="s">
        <v>677</v>
      </c>
      <c r="B27" s="6">
        <v>3</v>
      </c>
      <c r="C27" s="6">
        <v>3</v>
      </c>
      <c r="D27" s="7">
        <f t="shared" si="0"/>
        <v>100</v>
      </c>
      <c r="E27" s="6">
        <v>3</v>
      </c>
      <c r="F27" s="7">
        <f t="shared" si="1"/>
        <v>100</v>
      </c>
      <c r="G27" s="5"/>
      <c r="H27" s="5"/>
      <c r="I27" s="5"/>
      <c r="J27" s="7"/>
      <c r="K27" s="6">
        <v>0</v>
      </c>
      <c r="L27" s="7">
        <f t="shared" si="2"/>
        <v>0</v>
      </c>
      <c r="M27" s="6">
        <v>0</v>
      </c>
      <c r="N27" s="7">
        <f t="shared" si="3"/>
        <v>0</v>
      </c>
      <c r="O27" s="6">
        <v>0</v>
      </c>
      <c r="P27" s="7">
        <f t="shared" si="4"/>
        <v>0</v>
      </c>
    </row>
    <row r="28" spans="1:16" ht="14.65" thickBot="1">
      <c r="A28" s="4" t="s">
        <v>693</v>
      </c>
      <c r="B28" s="8">
        <f>SUM(B3:B27)</f>
        <v>351</v>
      </c>
      <c r="C28" s="8">
        <f>SUM(C3:C27)</f>
        <v>351</v>
      </c>
      <c r="D28" s="9">
        <f t="shared" si="0"/>
        <v>100</v>
      </c>
      <c r="E28" s="8">
        <f>SUM(E3:E27)</f>
        <v>263</v>
      </c>
      <c r="F28" s="9">
        <f t="shared" si="1"/>
        <v>74.928774928774928</v>
      </c>
      <c r="G28" s="4">
        <f>SUM(G3:G27)</f>
        <v>61</v>
      </c>
      <c r="H28" s="9">
        <f t="shared" si="5"/>
        <v>17.378917378917379</v>
      </c>
      <c r="I28" s="4">
        <f>SUM(I3:I27)</f>
        <v>1</v>
      </c>
      <c r="J28" s="9">
        <f t="shared" si="6"/>
        <v>0.28490028490028491</v>
      </c>
      <c r="K28" s="8">
        <f>SUM(K3:K27)</f>
        <v>77</v>
      </c>
      <c r="L28" s="9">
        <f t="shared" si="2"/>
        <v>21.937321937321936</v>
      </c>
      <c r="M28" s="8">
        <f>SUM(M3:M27)</f>
        <v>11</v>
      </c>
      <c r="N28" s="9">
        <f t="shared" si="3"/>
        <v>3.133903133903134</v>
      </c>
      <c r="O28" s="8">
        <f>SUM(O3:O27)</f>
        <v>0</v>
      </c>
      <c r="P28" s="9">
        <f t="shared" si="4"/>
        <v>0</v>
      </c>
    </row>
    <row r="29" spans="1:16">
      <c r="A29" t="s">
        <v>437</v>
      </c>
      <c r="B29" s="2">
        <v>4</v>
      </c>
      <c r="C29" s="2">
        <v>4</v>
      </c>
      <c r="D29" s="3">
        <f t="shared" si="0"/>
        <v>100</v>
      </c>
      <c r="E29" s="2">
        <v>0</v>
      </c>
      <c r="F29" s="3">
        <f t="shared" si="1"/>
        <v>0</v>
      </c>
      <c r="K29" s="2">
        <v>4</v>
      </c>
      <c r="L29" s="3">
        <f t="shared" si="2"/>
        <v>100</v>
      </c>
      <c r="M29" s="2">
        <v>0</v>
      </c>
      <c r="N29" s="3">
        <f t="shared" si="3"/>
        <v>0</v>
      </c>
      <c r="O29" s="2">
        <v>0</v>
      </c>
      <c r="P29" s="3">
        <f t="shared" si="4"/>
        <v>0</v>
      </c>
    </row>
    <row r="30" spans="1:16" ht="14.65" thickBot="1">
      <c r="A30" s="5" t="s">
        <v>142</v>
      </c>
      <c r="B30" s="6">
        <v>3</v>
      </c>
      <c r="C30" s="6">
        <v>3</v>
      </c>
      <c r="D30" s="7">
        <f>(C30/B30)*100</f>
        <v>100</v>
      </c>
      <c r="E30" s="6">
        <v>0</v>
      </c>
      <c r="F30" s="7">
        <f>(E30/B30)*100</f>
        <v>0</v>
      </c>
      <c r="G30" s="6">
        <v>0</v>
      </c>
      <c r="H30" s="7">
        <f>(G30/B30)*100</f>
        <v>0</v>
      </c>
      <c r="I30" s="5">
        <v>0</v>
      </c>
      <c r="J30" s="7">
        <f>(I30/B30)*100</f>
        <v>0</v>
      </c>
      <c r="K30" s="6">
        <v>3</v>
      </c>
      <c r="L30" s="7">
        <f>(K30/B30)*100</f>
        <v>100</v>
      </c>
      <c r="M30" s="6">
        <v>0</v>
      </c>
      <c r="N30" s="7">
        <f>(M30/B30)*100</f>
        <v>0</v>
      </c>
      <c r="O30" s="6">
        <v>0</v>
      </c>
      <c r="P30" s="7">
        <f>(O30/B30)*100</f>
        <v>0</v>
      </c>
    </row>
    <row r="31" spans="1:16" ht="14.65" thickBot="1">
      <c r="A31" s="4" t="s">
        <v>454</v>
      </c>
      <c r="B31" s="8">
        <v>7</v>
      </c>
      <c r="C31" s="8">
        <v>7</v>
      </c>
      <c r="D31" s="9">
        <f>(C31/B31)*100</f>
        <v>100</v>
      </c>
      <c r="E31" s="8">
        <v>0</v>
      </c>
      <c r="F31" s="9">
        <f>(E31/B31)*100</f>
        <v>0</v>
      </c>
      <c r="G31" s="4">
        <v>0</v>
      </c>
      <c r="H31" s="9">
        <f>(G31/B31)*100</f>
        <v>0</v>
      </c>
      <c r="I31" s="4">
        <v>0</v>
      </c>
      <c r="J31" s="9">
        <f>(I31/B31)*100</f>
        <v>0</v>
      </c>
      <c r="K31" s="8">
        <v>7</v>
      </c>
      <c r="L31" s="9">
        <f>(K31/B31)*100</f>
        <v>100</v>
      </c>
      <c r="M31" s="8">
        <v>0</v>
      </c>
      <c r="N31" s="9">
        <f>(M31/B31)*100</f>
        <v>0</v>
      </c>
      <c r="O31" s="8">
        <v>0</v>
      </c>
      <c r="P31" s="9">
        <f>(O31/B31)*100</f>
        <v>0</v>
      </c>
    </row>
    <row r="32" spans="1:16" ht="14.65" thickBot="1">
      <c r="A32" s="4" t="s">
        <v>311</v>
      </c>
      <c r="B32" s="8">
        <f>B28+B31</f>
        <v>358</v>
      </c>
      <c r="C32" s="8">
        <f>C28+C31</f>
        <v>358</v>
      </c>
      <c r="D32" s="9">
        <f>(C32/B32)*100</f>
        <v>100</v>
      </c>
      <c r="E32" s="8">
        <f>E28+E31</f>
        <v>263</v>
      </c>
      <c r="F32" s="9">
        <f>(E32/B32)*100</f>
        <v>73.463687150837984</v>
      </c>
      <c r="G32" s="4">
        <f>G28+G31</f>
        <v>61</v>
      </c>
      <c r="H32" s="9">
        <f>(G32/B32)*100</f>
        <v>17.039106145251395</v>
      </c>
      <c r="I32" s="4">
        <f>I28+I31</f>
        <v>1</v>
      </c>
      <c r="J32" s="9">
        <f>(I32/B32)*100</f>
        <v>0.27932960893854747</v>
      </c>
      <c r="K32" s="8">
        <f>K28+K31</f>
        <v>84</v>
      </c>
      <c r="L32" s="9">
        <f>(K32/B32)*100</f>
        <v>23.463687150837988</v>
      </c>
      <c r="M32" s="8">
        <f>M28+M31</f>
        <v>11</v>
      </c>
      <c r="N32" s="9">
        <f>(M32/B32)*100</f>
        <v>3.0726256983240221</v>
      </c>
      <c r="O32" s="8">
        <f>O28+O31</f>
        <v>0</v>
      </c>
      <c r="P32" s="9">
        <f>(O32/B32)*100</f>
        <v>0</v>
      </c>
    </row>
    <row r="33" spans="1:16">
      <c r="B33" s="2"/>
      <c r="C33" s="2"/>
      <c r="D33" s="3"/>
      <c r="E33" s="2"/>
      <c r="F33" s="3"/>
      <c r="G33" s="2"/>
      <c r="H33" s="3"/>
      <c r="J33" s="3"/>
      <c r="K33" s="2"/>
      <c r="L33" s="3"/>
      <c r="M33" s="2"/>
      <c r="N33" s="3"/>
      <c r="O33" s="2"/>
      <c r="P33" s="3"/>
    </row>
    <row r="34" spans="1:16">
      <c r="A34" t="s">
        <v>133</v>
      </c>
      <c r="B34" s="2"/>
      <c r="C34" s="2"/>
      <c r="D34" s="3"/>
      <c r="E34" s="2"/>
      <c r="F34" s="3"/>
      <c r="G34" s="2"/>
      <c r="H34" s="3"/>
      <c r="J34" s="3"/>
      <c r="K34" s="2"/>
      <c r="L34" s="3"/>
      <c r="M34" s="2"/>
      <c r="N34" s="3"/>
      <c r="O34" s="2"/>
      <c r="P34" s="3"/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2"/>
  <dimension ref="A1:P38"/>
  <sheetViews>
    <sheetView workbookViewId="0">
      <selection activeCell="R10" sqref="A1:XFD1048576"/>
    </sheetView>
  </sheetViews>
  <sheetFormatPr defaultColWidth="10.7109375" defaultRowHeight="14.25"/>
  <cols>
    <col min="1" max="1" width="32.5703125" bestFit="1" customWidth="1"/>
    <col min="7" max="7" width="12.5703125" bestFit="1" customWidth="1"/>
    <col min="8" max="8" width="12.5703125" customWidth="1"/>
    <col min="10" max="10" width="12.710937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619</v>
      </c>
      <c r="B3" s="2">
        <v>297</v>
      </c>
      <c r="C3" s="3">
        <v>65.319865319865329</v>
      </c>
      <c r="D3" t="s">
        <v>694</v>
      </c>
      <c r="E3" s="3">
        <v>61.27946127946128</v>
      </c>
      <c r="F3" t="s">
        <v>695</v>
      </c>
      <c r="K3" s="3">
        <v>4.3771043771043772</v>
      </c>
      <c r="L3" t="s">
        <v>696</v>
      </c>
      <c r="M3" s="3">
        <v>0.33670033670033667</v>
      </c>
      <c r="N3" t="s">
        <v>188</v>
      </c>
      <c r="O3" s="3">
        <v>0</v>
      </c>
      <c r="P3" t="s">
        <v>162</v>
      </c>
    </row>
    <row r="4" spans="1:16">
      <c r="A4" t="s">
        <v>621</v>
      </c>
      <c r="B4" s="2">
        <v>311</v>
      </c>
      <c r="C4" s="3">
        <v>26.659521257592001</v>
      </c>
      <c r="D4" s="31">
        <v>11953</v>
      </c>
      <c r="E4" s="3">
        <v>21.782779564130049</v>
      </c>
      <c r="F4" t="s">
        <v>697</v>
      </c>
      <c r="K4" s="3">
        <v>4.876741693461951</v>
      </c>
      <c r="L4" t="s">
        <v>698</v>
      </c>
      <c r="M4" s="3">
        <v>0</v>
      </c>
      <c r="N4" t="s">
        <v>162</v>
      </c>
      <c r="O4" s="3">
        <v>0</v>
      </c>
      <c r="P4" t="s">
        <v>162</v>
      </c>
    </row>
    <row r="5" spans="1:16">
      <c r="A5" t="s">
        <v>163</v>
      </c>
      <c r="B5" s="2">
        <v>609</v>
      </c>
      <c r="C5" s="3">
        <v>36.288998357963877</v>
      </c>
      <c r="D5" t="s">
        <v>699</v>
      </c>
      <c r="E5" s="3">
        <v>33.497536945812804</v>
      </c>
      <c r="F5" t="s">
        <v>700</v>
      </c>
      <c r="G5" s="3">
        <v>16.420361247947454</v>
      </c>
      <c r="H5" t="s">
        <v>701</v>
      </c>
      <c r="I5" s="3">
        <v>0.98522167487684731</v>
      </c>
      <c r="J5" t="s">
        <v>309</v>
      </c>
      <c r="K5" s="3">
        <v>2.1346469622331692</v>
      </c>
      <c r="L5" t="s">
        <v>702</v>
      </c>
      <c r="M5" s="3">
        <v>0.65681444991789817</v>
      </c>
      <c r="N5" t="s">
        <v>350</v>
      </c>
      <c r="O5" s="3">
        <v>0</v>
      </c>
      <c r="P5" t="s">
        <v>597</v>
      </c>
    </row>
    <row r="6" spans="1:16">
      <c r="A6" t="s">
        <v>171</v>
      </c>
      <c r="B6" s="2">
        <v>290</v>
      </c>
      <c r="C6" s="3">
        <v>45.172413793103452</v>
      </c>
      <c r="D6" t="s">
        <v>703</v>
      </c>
      <c r="E6" s="3">
        <v>37.58620689655173</v>
      </c>
      <c r="F6" t="s">
        <v>704</v>
      </c>
      <c r="G6" s="3">
        <v>5.5172413793103452</v>
      </c>
      <c r="H6" t="s">
        <v>705</v>
      </c>
      <c r="I6" s="3">
        <v>0</v>
      </c>
      <c r="J6" t="s">
        <v>588</v>
      </c>
      <c r="K6" s="3">
        <v>7.5862068965517242</v>
      </c>
      <c r="L6" t="s">
        <v>706</v>
      </c>
      <c r="M6" s="3">
        <v>0</v>
      </c>
      <c r="N6" t="s">
        <v>348</v>
      </c>
      <c r="O6" s="3">
        <v>0</v>
      </c>
      <c r="P6" t="s">
        <v>348</v>
      </c>
    </row>
    <row r="7" spans="1:16">
      <c r="A7" t="s">
        <v>135</v>
      </c>
      <c r="B7" s="2">
        <v>81</v>
      </c>
      <c r="C7" s="3">
        <v>8.6419753086419746</v>
      </c>
      <c r="D7" t="s">
        <v>707</v>
      </c>
      <c r="E7" s="3">
        <v>6.1728395061728394</v>
      </c>
      <c r="F7" t="s">
        <v>708</v>
      </c>
      <c r="G7" s="3">
        <v>0</v>
      </c>
      <c r="H7" t="s">
        <v>527</v>
      </c>
      <c r="I7" s="3">
        <v>0</v>
      </c>
      <c r="J7" t="s">
        <v>527</v>
      </c>
      <c r="K7" s="3">
        <v>2.4691358024691357</v>
      </c>
      <c r="L7" t="s">
        <v>709</v>
      </c>
      <c r="M7" s="3">
        <v>0</v>
      </c>
      <c r="N7" t="s">
        <v>526</v>
      </c>
      <c r="O7" s="3">
        <v>0</v>
      </c>
      <c r="P7" t="s">
        <v>526</v>
      </c>
    </row>
    <row r="8" spans="1:16">
      <c r="A8" t="s">
        <v>184</v>
      </c>
      <c r="B8" s="2">
        <v>317</v>
      </c>
      <c r="C8" s="3">
        <v>42.902208201892748</v>
      </c>
      <c r="D8" t="s">
        <v>710</v>
      </c>
      <c r="E8" s="3">
        <v>25.552050473186121</v>
      </c>
      <c r="F8" t="s">
        <v>711</v>
      </c>
      <c r="G8" s="3"/>
      <c r="I8" s="3"/>
      <c r="K8" s="3">
        <v>17.350157728706623</v>
      </c>
      <c r="L8" t="s">
        <v>712</v>
      </c>
      <c r="M8" s="3">
        <v>0</v>
      </c>
      <c r="N8" t="s">
        <v>162</v>
      </c>
      <c r="O8" s="3">
        <v>0</v>
      </c>
      <c r="P8" t="s">
        <v>162</v>
      </c>
    </row>
    <row r="9" spans="1:16">
      <c r="A9" t="s">
        <v>136</v>
      </c>
      <c r="B9" s="2">
        <v>294</v>
      </c>
      <c r="C9" s="3">
        <v>17.346938775510203</v>
      </c>
      <c r="D9" t="s">
        <v>713</v>
      </c>
      <c r="E9" s="3">
        <v>1.7006802721088436</v>
      </c>
      <c r="F9" t="s">
        <v>289</v>
      </c>
      <c r="G9" s="3">
        <v>0.68027210884353739</v>
      </c>
      <c r="H9" t="s">
        <v>218</v>
      </c>
      <c r="I9" s="3">
        <v>0.3401360544217687</v>
      </c>
      <c r="J9" t="s">
        <v>714</v>
      </c>
      <c r="K9" s="3">
        <v>14.625850340136054</v>
      </c>
      <c r="L9" t="s">
        <v>715</v>
      </c>
      <c r="M9" s="3">
        <v>1.0204081632653061</v>
      </c>
      <c r="N9" t="s">
        <v>716</v>
      </c>
      <c r="O9" s="3">
        <v>0</v>
      </c>
      <c r="P9" t="s">
        <v>162</v>
      </c>
    </row>
    <row r="10" spans="1:16">
      <c r="A10" t="s">
        <v>137</v>
      </c>
      <c r="B10" s="2">
        <v>158</v>
      </c>
      <c r="C10" s="3">
        <v>17.088607594936708</v>
      </c>
      <c r="D10" t="s">
        <v>717</v>
      </c>
      <c r="E10" s="3">
        <v>10.759493670886076</v>
      </c>
      <c r="F10" t="s">
        <v>718</v>
      </c>
      <c r="G10" s="3">
        <v>1.2658227848101264</v>
      </c>
      <c r="H10" t="s">
        <v>719</v>
      </c>
      <c r="I10" s="3">
        <v>0</v>
      </c>
      <c r="J10" t="s">
        <v>464</v>
      </c>
      <c r="K10" s="3">
        <v>6.329113924050632</v>
      </c>
      <c r="L10" t="s">
        <v>720</v>
      </c>
      <c r="M10" s="3">
        <v>0</v>
      </c>
      <c r="N10" t="s">
        <v>467</v>
      </c>
      <c r="O10" s="3">
        <v>0</v>
      </c>
      <c r="P10" t="s">
        <v>467</v>
      </c>
    </row>
    <row r="11" spans="1:16">
      <c r="A11" t="s">
        <v>202</v>
      </c>
      <c r="B11" s="2">
        <v>300</v>
      </c>
      <c r="C11" s="3">
        <v>6.3333333333333339</v>
      </c>
      <c r="D11" t="s">
        <v>373</v>
      </c>
      <c r="E11" s="3">
        <v>0</v>
      </c>
      <c r="F11" t="s">
        <v>162</v>
      </c>
      <c r="G11" s="3"/>
      <c r="I11" s="3"/>
      <c r="K11" s="3">
        <v>6.3333333333333339</v>
      </c>
      <c r="L11" t="s">
        <v>373</v>
      </c>
      <c r="M11" s="3">
        <v>0</v>
      </c>
      <c r="N11" t="s">
        <v>162</v>
      </c>
      <c r="O11" s="3">
        <v>0</v>
      </c>
      <c r="P11" t="s">
        <v>162</v>
      </c>
    </row>
    <row r="12" spans="1:16">
      <c r="A12" t="s">
        <v>204</v>
      </c>
      <c r="B12" s="2">
        <v>294</v>
      </c>
      <c r="C12" s="3">
        <v>6.8027210884353746</v>
      </c>
      <c r="D12" t="s">
        <v>721</v>
      </c>
      <c r="E12" s="3">
        <v>4.4217687074829941</v>
      </c>
      <c r="F12" t="s">
        <v>696</v>
      </c>
      <c r="G12" s="3">
        <v>1.0204081632653061</v>
      </c>
      <c r="H12" t="s">
        <v>722</v>
      </c>
      <c r="I12" s="3">
        <v>0</v>
      </c>
      <c r="J12" t="s">
        <v>588</v>
      </c>
      <c r="K12" s="3">
        <v>2.3809523809523814</v>
      </c>
      <c r="L12" t="s">
        <v>723</v>
      </c>
      <c r="M12" s="3">
        <v>0</v>
      </c>
      <c r="N12" t="s">
        <v>162</v>
      </c>
      <c r="O12" s="3">
        <v>0</v>
      </c>
      <c r="P12" t="s">
        <v>162</v>
      </c>
    </row>
    <row r="13" spans="1:16">
      <c r="A13" t="s">
        <v>128</v>
      </c>
      <c r="B13" s="2">
        <v>348</v>
      </c>
      <c r="C13" s="3">
        <v>44.252873563218394</v>
      </c>
      <c r="D13" t="s">
        <v>724</v>
      </c>
      <c r="E13" s="3">
        <v>33.908045977011497</v>
      </c>
      <c r="F13" t="s">
        <v>725</v>
      </c>
      <c r="G13" s="3"/>
      <c r="I13" s="3"/>
      <c r="K13" s="3">
        <v>10.344827586206897</v>
      </c>
      <c r="L13" t="s">
        <v>726</v>
      </c>
      <c r="M13" s="3">
        <v>0</v>
      </c>
      <c r="N13" t="s">
        <v>156</v>
      </c>
      <c r="O13" s="3">
        <v>0</v>
      </c>
      <c r="P13" t="s">
        <v>156</v>
      </c>
    </row>
    <row r="14" spans="1:16">
      <c r="A14" t="s">
        <v>138</v>
      </c>
      <c r="B14" s="2">
        <v>70</v>
      </c>
      <c r="C14" s="3">
        <v>45.714285714285715</v>
      </c>
      <c r="D14" t="s">
        <v>727</v>
      </c>
      <c r="E14" s="3">
        <v>40</v>
      </c>
      <c r="F14" t="s">
        <v>728</v>
      </c>
      <c r="G14" s="3">
        <v>2.8571428571428572</v>
      </c>
      <c r="H14" t="s">
        <v>729</v>
      </c>
      <c r="I14" s="3">
        <v>0</v>
      </c>
      <c r="J14" t="s">
        <v>730</v>
      </c>
      <c r="K14" s="3">
        <v>4.2857142857142856</v>
      </c>
      <c r="L14" t="s">
        <v>731</v>
      </c>
      <c r="M14" s="3">
        <v>1.4285714285714286</v>
      </c>
      <c r="N14" t="s">
        <v>732</v>
      </c>
      <c r="O14" s="3">
        <v>0</v>
      </c>
      <c r="P14" t="s">
        <v>733</v>
      </c>
    </row>
    <row r="15" spans="1:16">
      <c r="A15" t="s">
        <v>119</v>
      </c>
      <c r="B15" s="2">
        <v>380</v>
      </c>
      <c r="C15" s="3">
        <v>54.210526315789465</v>
      </c>
      <c r="D15" t="s">
        <v>734</v>
      </c>
      <c r="E15" s="3">
        <v>46.842105263157897</v>
      </c>
      <c r="F15" t="s">
        <v>735</v>
      </c>
      <c r="G15" s="3">
        <v>15.526315789473683</v>
      </c>
      <c r="H15" t="s">
        <v>736</v>
      </c>
      <c r="I15" s="3">
        <v>2.3684210526315792</v>
      </c>
      <c r="J15" t="s">
        <v>737</v>
      </c>
      <c r="K15" s="3">
        <v>6.8421052631578938</v>
      </c>
      <c r="L15" t="s">
        <v>738</v>
      </c>
      <c r="M15" s="3">
        <v>0.52631578947368418</v>
      </c>
      <c r="N15" t="s">
        <v>739</v>
      </c>
      <c r="O15" s="3">
        <v>0</v>
      </c>
      <c r="P15" t="s">
        <v>194</v>
      </c>
    </row>
    <row r="16" spans="1:16">
      <c r="A16" t="s">
        <v>129</v>
      </c>
      <c r="B16" s="2">
        <v>300</v>
      </c>
      <c r="C16" s="3">
        <v>35.333333333333329</v>
      </c>
      <c r="D16" t="s">
        <v>740</v>
      </c>
      <c r="E16" s="3">
        <v>21.666666666666668</v>
      </c>
      <c r="F16" t="s">
        <v>741</v>
      </c>
      <c r="G16" s="3">
        <v>9</v>
      </c>
      <c r="H16" t="s">
        <v>742</v>
      </c>
      <c r="I16" s="3">
        <v>0</v>
      </c>
      <c r="J16" t="s">
        <v>268</v>
      </c>
      <c r="K16" s="3">
        <v>12.666666666666664</v>
      </c>
      <c r="L16" t="s">
        <v>743</v>
      </c>
      <c r="M16" s="3">
        <v>0.99999999999999989</v>
      </c>
      <c r="N16" t="s">
        <v>224</v>
      </c>
      <c r="O16" s="3">
        <v>0</v>
      </c>
      <c r="P16" t="s">
        <v>162</v>
      </c>
    </row>
    <row r="17" spans="1:16">
      <c r="A17" t="s">
        <v>120</v>
      </c>
      <c r="B17" s="2">
        <v>300</v>
      </c>
      <c r="C17" s="3">
        <v>71.000000000000014</v>
      </c>
      <c r="D17" t="s">
        <v>744</v>
      </c>
      <c r="E17" s="3">
        <v>56.333333333333336</v>
      </c>
      <c r="F17" t="s">
        <v>745</v>
      </c>
      <c r="G17" s="3"/>
      <c r="I17" s="3"/>
      <c r="K17" s="3">
        <v>14.666666666666666</v>
      </c>
      <c r="L17" t="s">
        <v>746</v>
      </c>
      <c r="M17" s="3">
        <v>0</v>
      </c>
      <c r="N17" t="s">
        <v>162</v>
      </c>
      <c r="O17" s="3">
        <v>0.33333333333333331</v>
      </c>
      <c r="P17" t="s">
        <v>303</v>
      </c>
    </row>
    <row r="18" spans="1:16">
      <c r="A18" t="s">
        <v>228</v>
      </c>
      <c r="B18" s="2">
        <v>150</v>
      </c>
      <c r="C18" s="3">
        <v>56.666666666666664</v>
      </c>
      <c r="D18" t="s">
        <v>747</v>
      </c>
      <c r="E18" s="3">
        <v>52.666666666666664</v>
      </c>
      <c r="F18" t="s">
        <v>748</v>
      </c>
      <c r="G18" s="3">
        <v>12</v>
      </c>
      <c r="H18" t="s">
        <v>749</v>
      </c>
      <c r="I18" s="3">
        <v>0</v>
      </c>
      <c r="J18" t="s">
        <v>181</v>
      </c>
      <c r="K18" s="3">
        <v>4</v>
      </c>
      <c r="L18" t="s">
        <v>169</v>
      </c>
      <c r="M18" s="3">
        <v>0</v>
      </c>
      <c r="N18" t="s">
        <v>170</v>
      </c>
      <c r="O18" s="3">
        <v>0</v>
      </c>
      <c r="P18" t="s">
        <v>170</v>
      </c>
    </row>
    <row r="19" spans="1:16">
      <c r="A19" t="s">
        <v>233</v>
      </c>
      <c r="B19" s="2">
        <v>150</v>
      </c>
      <c r="C19" s="3">
        <v>31.333333333333336</v>
      </c>
      <c r="D19" t="s">
        <v>750</v>
      </c>
      <c r="E19" s="3">
        <v>27.333333333333336</v>
      </c>
      <c r="F19" t="s">
        <v>751</v>
      </c>
      <c r="G19" s="3">
        <v>6.0000000000000009</v>
      </c>
      <c r="H19" t="s">
        <v>246</v>
      </c>
      <c r="I19" s="3">
        <v>0</v>
      </c>
      <c r="J19" t="s">
        <v>181</v>
      </c>
      <c r="K19" s="3">
        <v>3.3333333333333335</v>
      </c>
      <c r="L19" t="s">
        <v>237</v>
      </c>
      <c r="M19" s="3">
        <v>0.66666666666666674</v>
      </c>
      <c r="N19" t="s">
        <v>276</v>
      </c>
      <c r="O19" s="3">
        <v>0</v>
      </c>
      <c r="P19" t="s">
        <v>170</v>
      </c>
    </row>
    <row r="20" spans="1:16">
      <c r="A20" t="s">
        <v>116</v>
      </c>
      <c r="B20" s="2">
        <v>168</v>
      </c>
      <c r="C20" s="3">
        <v>21.428571428571427</v>
      </c>
      <c r="D20" t="s">
        <v>752</v>
      </c>
      <c r="E20" s="3">
        <v>19.642857142857142</v>
      </c>
      <c r="F20" t="s">
        <v>753</v>
      </c>
      <c r="G20" s="3">
        <v>1.7857142857142856</v>
      </c>
      <c r="H20" t="s">
        <v>754</v>
      </c>
      <c r="I20" s="3">
        <v>0</v>
      </c>
      <c r="J20" t="s">
        <v>755</v>
      </c>
      <c r="K20" s="3">
        <v>1.7857142857142856</v>
      </c>
      <c r="L20" t="s">
        <v>756</v>
      </c>
      <c r="M20" s="3">
        <v>0</v>
      </c>
      <c r="N20" t="s">
        <v>757</v>
      </c>
      <c r="O20" s="3">
        <v>0</v>
      </c>
      <c r="P20" t="s">
        <v>757</v>
      </c>
    </row>
    <row r="21" spans="1:16">
      <c r="A21" t="s">
        <v>121</v>
      </c>
      <c r="B21" s="2">
        <v>209</v>
      </c>
      <c r="C21" s="3">
        <v>26.315789473684209</v>
      </c>
      <c r="D21" t="s">
        <v>758</v>
      </c>
      <c r="E21" s="3">
        <v>23.923444976076553</v>
      </c>
      <c r="F21" t="s">
        <v>759</v>
      </c>
      <c r="G21" s="3">
        <v>1.4354066985645932</v>
      </c>
      <c r="H21" t="s">
        <v>760</v>
      </c>
      <c r="I21" s="3">
        <v>0</v>
      </c>
      <c r="J21" t="s">
        <v>375</v>
      </c>
      <c r="K21" s="3">
        <v>0.4784688995215311</v>
      </c>
      <c r="L21" t="s">
        <v>543</v>
      </c>
      <c r="M21" s="3">
        <v>1.9138755980861244</v>
      </c>
      <c r="N21" t="s">
        <v>761</v>
      </c>
      <c r="O21" s="3">
        <v>0</v>
      </c>
      <c r="P21" t="s">
        <v>210</v>
      </c>
    </row>
    <row r="22" spans="1:16">
      <c r="A22" t="s">
        <v>122</v>
      </c>
      <c r="B22" s="2">
        <v>300</v>
      </c>
      <c r="C22" s="3">
        <v>14.333333333333334</v>
      </c>
      <c r="D22" t="s">
        <v>299</v>
      </c>
      <c r="E22" s="3">
        <v>7.6666666666666661</v>
      </c>
      <c r="F22" t="s">
        <v>762</v>
      </c>
      <c r="G22" s="3"/>
      <c r="I22" s="3"/>
      <c r="K22" s="3">
        <v>6.666666666666667</v>
      </c>
      <c r="L22" t="s">
        <v>763</v>
      </c>
      <c r="M22" s="3">
        <v>0</v>
      </c>
      <c r="N22" t="s">
        <v>162</v>
      </c>
      <c r="O22" s="3">
        <v>0</v>
      </c>
      <c r="P22" t="s">
        <v>162</v>
      </c>
    </row>
    <row r="23" spans="1:16">
      <c r="A23" t="s">
        <v>123</v>
      </c>
      <c r="B23" s="2">
        <v>309</v>
      </c>
      <c r="C23" s="3">
        <v>46.925566343042071</v>
      </c>
      <c r="D23" t="s">
        <v>764</v>
      </c>
      <c r="E23" s="3">
        <v>30.420711974110038</v>
      </c>
      <c r="F23" t="s">
        <v>765</v>
      </c>
      <c r="G23" s="3">
        <v>6.4724919093851145</v>
      </c>
      <c r="H23" t="s">
        <v>766</v>
      </c>
      <c r="I23" s="3">
        <v>0</v>
      </c>
      <c r="J23" t="s">
        <v>268</v>
      </c>
      <c r="K23" s="3">
        <v>14.563106796116507</v>
      </c>
      <c r="L23" t="s">
        <v>767</v>
      </c>
      <c r="M23" s="3">
        <v>1.9417475728155338</v>
      </c>
      <c r="N23" t="s">
        <v>302</v>
      </c>
      <c r="O23" s="3">
        <v>0</v>
      </c>
      <c r="P23" t="s">
        <v>162</v>
      </c>
    </row>
    <row r="24" spans="1:16">
      <c r="A24" t="s">
        <v>139</v>
      </c>
      <c r="B24" s="2">
        <v>334</v>
      </c>
      <c r="C24" s="3">
        <v>71.528247852121837</v>
      </c>
      <c r="D24" t="s">
        <v>768</v>
      </c>
      <c r="E24" s="3">
        <v>57.410830512887266</v>
      </c>
      <c r="F24" t="s">
        <v>769</v>
      </c>
      <c r="G24" s="3">
        <v>13.489976568601927</v>
      </c>
      <c r="H24" t="s">
        <v>770</v>
      </c>
      <c r="I24" s="3">
        <v>0</v>
      </c>
      <c r="J24" t="s">
        <v>483</v>
      </c>
      <c r="K24" s="3">
        <v>8.1567300182244207</v>
      </c>
      <c r="L24" t="s">
        <v>771</v>
      </c>
      <c r="M24" s="3">
        <v>5.9606873210101528</v>
      </c>
      <c r="N24" t="s">
        <v>772</v>
      </c>
      <c r="O24" s="3">
        <v>0.62744077063264769</v>
      </c>
      <c r="P24" t="s">
        <v>155</v>
      </c>
    </row>
    <row r="25" spans="1:16">
      <c r="A25" t="s">
        <v>140</v>
      </c>
      <c r="B25" s="2">
        <v>300</v>
      </c>
      <c r="C25" s="3">
        <v>73.666666666666671</v>
      </c>
      <c r="D25" t="s">
        <v>773</v>
      </c>
      <c r="E25" s="3">
        <v>50.666666666666671</v>
      </c>
      <c r="F25" t="s">
        <v>774</v>
      </c>
      <c r="G25" s="3">
        <v>7.333333333333333</v>
      </c>
      <c r="H25" t="s">
        <v>775</v>
      </c>
      <c r="I25" s="3">
        <v>2</v>
      </c>
      <c r="J25" t="s">
        <v>776</v>
      </c>
      <c r="K25" s="3">
        <v>17</v>
      </c>
      <c r="L25" t="s">
        <v>777</v>
      </c>
      <c r="M25" s="3">
        <v>6.0000000000000009</v>
      </c>
      <c r="N25" t="s">
        <v>778</v>
      </c>
      <c r="O25" s="3">
        <v>0</v>
      </c>
      <c r="P25" t="s">
        <v>162</v>
      </c>
    </row>
    <row r="26" spans="1:16">
      <c r="A26" t="s">
        <v>271</v>
      </c>
      <c r="B26" s="2">
        <v>140</v>
      </c>
      <c r="C26" s="3">
        <v>61.428571428571423</v>
      </c>
      <c r="D26" t="s">
        <v>779</v>
      </c>
      <c r="E26" s="3">
        <v>40</v>
      </c>
      <c r="F26" t="s">
        <v>780</v>
      </c>
      <c r="G26" s="3">
        <v>26.428571428571431</v>
      </c>
      <c r="H26" t="s">
        <v>781</v>
      </c>
      <c r="I26" s="3">
        <v>2.8571428571428572</v>
      </c>
      <c r="J26" t="s">
        <v>782</v>
      </c>
      <c r="K26" s="3">
        <v>20</v>
      </c>
      <c r="L26" t="s">
        <v>783</v>
      </c>
      <c r="M26" s="3">
        <v>1.4285714285714286</v>
      </c>
      <c r="N26" t="s">
        <v>784</v>
      </c>
      <c r="O26" s="3">
        <v>0</v>
      </c>
      <c r="P26" t="s">
        <v>543</v>
      </c>
    </row>
    <row r="27" spans="1:16">
      <c r="A27" t="s">
        <v>277</v>
      </c>
      <c r="B27" s="2">
        <v>154</v>
      </c>
      <c r="C27" s="3">
        <v>51.94805194805194</v>
      </c>
      <c r="D27" t="s">
        <v>785</v>
      </c>
      <c r="E27" s="3">
        <v>21.428571428571427</v>
      </c>
      <c r="F27" t="s">
        <v>786</v>
      </c>
      <c r="G27" s="3">
        <v>11.688311688311687</v>
      </c>
      <c r="H27" t="s">
        <v>787</v>
      </c>
      <c r="I27" s="3">
        <v>0</v>
      </c>
      <c r="J27" t="s">
        <v>181</v>
      </c>
      <c r="K27" s="3">
        <v>30.519480519480517</v>
      </c>
      <c r="L27" t="s">
        <v>788</v>
      </c>
      <c r="M27" s="3">
        <v>0</v>
      </c>
      <c r="N27" t="s">
        <v>170</v>
      </c>
      <c r="O27" s="3">
        <v>0</v>
      </c>
      <c r="P27" t="s">
        <v>170</v>
      </c>
    </row>
    <row r="28" spans="1:16">
      <c r="A28" t="s">
        <v>130</v>
      </c>
      <c r="B28" s="2">
        <v>413</v>
      </c>
      <c r="C28" s="3">
        <v>81.84019370460048</v>
      </c>
      <c r="D28" t="s">
        <v>789</v>
      </c>
      <c r="E28" s="3">
        <v>64.2</v>
      </c>
      <c r="F28" s="14" t="s">
        <v>790</v>
      </c>
      <c r="G28" s="3">
        <v>15.980629539951574</v>
      </c>
      <c r="H28" t="s">
        <v>791</v>
      </c>
      <c r="I28" s="3">
        <v>0</v>
      </c>
      <c r="J28" t="s">
        <v>256</v>
      </c>
      <c r="K28" s="3">
        <v>13.801452784503635</v>
      </c>
      <c r="L28" t="s">
        <v>792</v>
      </c>
      <c r="M28" s="3">
        <v>3.9</v>
      </c>
      <c r="N28" s="14" t="s">
        <v>793</v>
      </c>
      <c r="O28" s="3">
        <v>0.24213075060532688</v>
      </c>
      <c r="P28" t="s">
        <v>348</v>
      </c>
    </row>
    <row r="29" spans="1:16">
      <c r="A29" t="s">
        <v>288</v>
      </c>
      <c r="B29" s="2">
        <v>302</v>
      </c>
      <c r="C29" s="3">
        <v>3.3112582781456954</v>
      </c>
      <c r="D29" t="s">
        <v>794</v>
      </c>
      <c r="E29" s="3">
        <v>0.66225165562913912</v>
      </c>
      <c r="F29" t="s">
        <v>270</v>
      </c>
      <c r="G29" s="3"/>
      <c r="I29" s="3"/>
      <c r="K29" s="3">
        <v>2.6490066225165565</v>
      </c>
      <c r="L29" t="s">
        <v>287</v>
      </c>
      <c r="M29" s="3">
        <v>0</v>
      </c>
      <c r="N29" t="s">
        <v>162</v>
      </c>
      <c r="O29" s="3">
        <v>0</v>
      </c>
      <c r="P29" t="s">
        <v>162</v>
      </c>
    </row>
    <row r="30" spans="1:16" ht="14.65" thickBot="1">
      <c r="A30" s="5" t="s">
        <v>427</v>
      </c>
      <c r="B30" s="6">
        <v>294</v>
      </c>
      <c r="C30" s="7">
        <v>37.074829931972793</v>
      </c>
      <c r="D30" t="s">
        <v>795</v>
      </c>
      <c r="E30" s="7">
        <v>23.469387755102041</v>
      </c>
      <c r="F30" t="s">
        <v>796</v>
      </c>
      <c r="G30" s="7">
        <v>9.5238095238095255</v>
      </c>
      <c r="H30" t="s">
        <v>797</v>
      </c>
      <c r="I30" s="7">
        <v>0.6802721088435375</v>
      </c>
      <c r="J30" t="s">
        <v>218</v>
      </c>
      <c r="K30" s="7">
        <v>13.605442176870749</v>
      </c>
      <c r="L30" s="3" t="s">
        <v>798</v>
      </c>
      <c r="M30" s="7">
        <v>0</v>
      </c>
      <c r="N30" t="s">
        <v>162</v>
      </c>
      <c r="O30" s="7">
        <v>0</v>
      </c>
      <c r="P30" t="s">
        <v>162</v>
      </c>
    </row>
    <row r="31" spans="1:16" ht="14.65" thickBot="1">
      <c r="A31" s="54" t="s">
        <v>679</v>
      </c>
      <c r="B31" s="8">
        <v>7572</v>
      </c>
      <c r="C31" s="9">
        <v>40.859086741435803</v>
      </c>
      <c r="D31" s="37" t="s">
        <v>799</v>
      </c>
      <c r="E31" s="9">
        <v>30.757002349166473</v>
      </c>
      <c r="F31" s="37" t="s">
        <v>800</v>
      </c>
      <c r="G31" s="9">
        <v>9.4237514104147468</v>
      </c>
      <c r="H31" s="37" t="s">
        <v>801</v>
      </c>
      <c r="I31" s="9">
        <v>0.55201891107031997</v>
      </c>
      <c r="J31" s="37" t="s">
        <v>433</v>
      </c>
      <c r="K31" s="9">
        <v>9.0547554329658198</v>
      </c>
      <c r="L31" s="38" t="s">
        <v>802</v>
      </c>
      <c r="M31" s="9">
        <v>1.0738436165010707</v>
      </c>
      <c r="N31" s="37" t="s">
        <v>803</v>
      </c>
      <c r="O31" s="9">
        <v>5.3029314395114609E-2</v>
      </c>
      <c r="P31" s="37" t="s">
        <v>297</v>
      </c>
    </row>
    <row r="32" spans="1:16">
      <c r="A32" t="s">
        <v>436</v>
      </c>
      <c r="B32" s="2">
        <v>143</v>
      </c>
      <c r="C32" s="3">
        <v>1.3986013986013985</v>
      </c>
      <c r="D32" t="s">
        <v>558</v>
      </c>
      <c r="E32" s="3">
        <v>1.3986013986013985</v>
      </c>
      <c r="F32" t="s">
        <v>558</v>
      </c>
      <c r="G32" s="3">
        <v>0</v>
      </c>
      <c r="H32" t="s">
        <v>557</v>
      </c>
      <c r="I32" s="3">
        <v>0</v>
      </c>
      <c r="J32" t="s">
        <v>557</v>
      </c>
      <c r="K32" s="3">
        <v>0</v>
      </c>
      <c r="L32" t="s">
        <v>201</v>
      </c>
      <c r="M32" s="3">
        <v>0</v>
      </c>
      <c r="N32" t="s">
        <v>201</v>
      </c>
      <c r="O32" s="3">
        <v>0</v>
      </c>
      <c r="P32" t="s">
        <v>201</v>
      </c>
    </row>
    <row r="33" spans="1:16">
      <c r="A33" t="s">
        <v>437</v>
      </c>
      <c r="B33" s="2">
        <v>333</v>
      </c>
      <c r="C33" s="3">
        <v>19.51951951951952</v>
      </c>
      <c r="D33" t="s">
        <v>804</v>
      </c>
      <c r="E33" s="3">
        <v>1.8018018018018018</v>
      </c>
      <c r="F33" t="s">
        <v>805</v>
      </c>
      <c r="I33" s="3"/>
      <c r="K33" s="3">
        <v>17.717717717717719</v>
      </c>
      <c r="L33" t="s">
        <v>806</v>
      </c>
      <c r="M33" s="3">
        <v>0</v>
      </c>
      <c r="N33" t="s">
        <v>156</v>
      </c>
      <c r="O33" s="3">
        <v>0</v>
      </c>
      <c r="P33" t="s">
        <v>156</v>
      </c>
    </row>
    <row r="34" spans="1:16" ht="14.65" thickBot="1">
      <c r="A34" s="5" t="s">
        <v>142</v>
      </c>
      <c r="B34" s="6">
        <v>308</v>
      </c>
      <c r="C34" s="7">
        <v>6.1688311688311686</v>
      </c>
      <c r="D34" s="7" t="s">
        <v>807</v>
      </c>
      <c r="E34" s="7">
        <v>3.8961038961038961</v>
      </c>
      <c r="F34" s="7" t="s">
        <v>657</v>
      </c>
      <c r="G34" s="7">
        <v>0.32467532467532467</v>
      </c>
      <c r="H34" s="5" t="s">
        <v>375</v>
      </c>
      <c r="I34" s="7">
        <v>0</v>
      </c>
      <c r="J34" s="5" t="s">
        <v>268</v>
      </c>
      <c r="K34" s="7">
        <v>1.948051948051948</v>
      </c>
      <c r="L34" s="7" t="s">
        <v>302</v>
      </c>
      <c r="M34" s="7">
        <v>0.32467532467532467</v>
      </c>
      <c r="N34" s="7" t="s">
        <v>303</v>
      </c>
      <c r="O34" s="7">
        <v>0</v>
      </c>
      <c r="P34" s="7" t="s">
        <v>268</v>
      </c>
    </row>
    <row r="35" spans="1:16" ht="14.65" thickBot="1">
      <c r="A35" s="4" t="s">
        <v>444</v>
      </c>
      <c r="B35" s="8">
        <v>784</v>
      </c>
      <c r="C35" s="9">
        <v>11</v>
      </c>
      <c r="D35" s="30" t="s">
        <v>808</v>
      </c>
      <c r="E35" s="9">
        <v>2.5</v>
      </c>
      <c r="F35" s="30" t="s">
        <v>809</v>
      </c>
      <c r="G35" s="4">
        <v>0.2</v>
      </c>
      <c r="H35" s="30" t="s">
        <v>268</v>
      </c>
      <c r="I35" s="9">
        <v>0</v>
      </c>
      <c r="J35" s="30" t="s">
        <v>810</v>
      </c>
      <c r="K35" s="9">
        <v>8.3000000000000007</v>
      </c>
      <c r="L35" s="30" t="s">
        <v>811</v>
      </c>
      <c r="M35" s="9">
        <v>0.1</v>
      </c>
      <c r="N35" s="30" t="s">
        <v>441</v>
      </c>
      <c r="O35" s="9">
        <v>0</v>
      </c>
      <c r="P35" s="30" t="s">
        <v>352</v>
      </c>
    </row>
    <row r="36" spans="1:16" ht="14.65" thickBot="1">
      <c r="A36" s="4" t="s">
        <v>311</v>
      </c>
      <c r="B36" s="8">
        <v>8356</v>
      </c>
      <c r="C36" s="4">
        <v>38.1</v>
      </c>
      <c r="D36" s="30" t="s">
        <v>812</v>
      </c>
      <c r="E36" s="4">
        <v>28.1</v>
      </c>
      <c r="F36" s="30" t="s">
        <v>813</v>
      </c>
      <c r="G36" s="4">
        <v>8.6999999999999993</v>
      </c>
      <c r="H36" s="30" t="s">
        <v>814</v>
      </c>
      <c r="I36" s="4">
        <v>0.5</v>
      </c>
      <c r="J36" s="30" t="s">
        <v>815</v>
      </c>
      <c r="K36" s="9">
        <v>9</v>
      </c>
      <c r="L36" s="30" t="s">
        <v>816</v>
      </c>
      <c r="M36" s="9">
        <v>1</v>
      </c>
      <c r="N36" s="30" t="s">
        <v>817</v>
      </c>
      <c r="O36" s="9">
        <v>0</v>
      </c>
      <c r="P36" s="30" t="s">
        <v>317</v>
      </c>
    </row>
    <row r="38" spans="1:16">
      <c r="A38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13"/>
  <dimension ref="A1:P38"/>
  <sheetViews>
    <sheetView topLeftCell="A22" workbookViewId="0">
      <selection activeCell="H42" sqref="H42"/>
    </sheetView>
  </sheetViews>
  <sheetFormatPr defaultColWidth="10.7109375" defaultRowHeight="14.25"/>
  <cols>
    <col min="1" max="1" width="32.5703125" bestFit="1" customWidth="1"/>
    <col min="8" max="8" width="14" customWidth="1"/>
    <col min="10" max="10" width="13.140625" customWidth="1"/>
    <col min="12" max="12" width="11.5703125" bestFit="1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619</v>
      </c>
      <c r="B3" s="2">
        <v>194</v>
      </c>
      <c r="C3" s="2">
        <v>194</v>
      </c>
      <c r="D3" s="3">
        <f>(C3/B3)*100</f>
        <v>100</v>
      </c>
      <c r="E3" s="2">
        <v>182</v>
      </c>
      <c r="F3" s="3">
        <f>(E3/B3)*100</f>
        <v>93.814432989690715</v>
      </c>
      <c r="K3" s="2">
        <v>13</v>
      </c>
      <c r="L3" s="3">
        <f>(K3/B3)*100</f>
        <v>6.7010309278350517</v>
      </c>
      <c r="M3" s="2">
        <v>1</v>
      </c>
      <c r="N3" s="3">
        <f>(M3/B3)*100</f>
        <v>0.51546391752577314</v>
      </c>
      <c r="O3" s="2">
        <v>0</v>
      </c>
      <c r="P3" s="3">
        <f>(O3/B3)*100</f>
        <v>0</v>
      </c>
    </row>
    <row r="4" spans="1:16">
      <c r="A4" t="s">
        <v>621</v>
      </c>
      <c r="B4" s="2">
        <v>89</v>
      </c>
      <c r="C4" s="2">
        <v>81</v>
      </c>
      <c r="D4" s="3">
        <f t="shared" ref="D4:D36" si="0">(C4/B4)*100</f>
        <v>91.011235955056179</v>
      </c>
      <c r="E4" s="2">
        <v>66</v>
      </c>
      <c r="F4" s="3">
        <f t="shared" ref="F4:F36" si="1">(E4/B4)*100</f>
        <v>74.157303370786522</v>
      </c>
      <c r="K4" s="2">
        <v>15</v>
      </c>
      <c r="L4" s="3">
        <f t="shared" ref="L4:L36" si="2">(K4/B4)*100</f>
        <v>16.853932584269664</v>
      </c>
      <c r="M4" s="2">
        <v>0</v>
      </c>
      <c r="N4" s="3">
        <f t="shared" ref="N4:N36" si="3">(M4/B4)*100</f>
        <v>0</v>
      </c>
      <c r="O4" s="2">
        <v>0</v>
      </c>
      <c r="P4" s="3">
        <f t="shared" ref="P4:P36" si="4">(O4/B4)*100</f>
        <v>0</v>
      </c>
    </row>
    <row r="5" spans="1:16">
      <c r="A5" t="s">
        <v>163</v>
      </c>
      <c r="B5" s="2">
        <v>223</v>
      </c>
      <c r="C5" s="2">
        <v>221</v>
      </c>
      <c r="D5" s="3">
        <f t="shared" si="0"/>
        <v>99.103139013452918</v>
      </c>
      <c r="E5" s="2">
        <v>204</v>
      </c>
      <c r="F5" s="3">
        <f t="shared" si="1"/>
        <v>91.479820627802695</v>
      </c>
      <c r="G5">
        <v>100</v>
      </c>
      <c r="H5" s="3">
        <f>(G5/B5)*100</f>
        <v>44.843049327354265</v>
      </c>
      <c r="I5">
        <v>6</v>
      </c>
      <c r="J5" s="3">
        <f>(I5/B5)*100</f>
        <v>2.6905829596412558</v>
      </c>
      <c r="K5" s="2">
        <v>13</v>
      </c>
      <c r="L5" s="3">
        <f t="shared" si="2"/>
        <v>5.8295964125560538</v>
      </c>
      <c r="M5" s="2">
        <v>4</v>
      </c>
      <c r="N5" s="3">
        <f t="shared" si="3"/>
        <v>1.7937219730941705</v>
      </c>
      <c r="O5" s="2">
        <v>0</v>
      </c>
      <c r="P5" s="3">
        <f t="shared" si="4"/>
        <v>0</v>
      </c>
    </row>
    <row r="6" spans="1:16">
      <c r="A6" t="s">
        <v>171</v>
      </c>
      <c r="B6" s="2">
        <v>132</v>
      </c>
      <c r="C6" s="2">
        <v>131</v>
      </c>
      <c r="D6" s="3">
        <f t="shared" si="0"/>
        <v>99.242424242424249</v>
      </c>
      <c r="E6" s="2">
        <v>109</v>
      </c>
      <c r="F6" s="3">
        <f t="shared" si="1"/>
        <v>82.575757575757578</v>
      </c>
      <c r="G6">
        <v>16</v>
      </c>
      <c r="H6" s="3">
        <f t="shared" ref="H6:H34" si="5">(G6/B6)*100</f>
        <v>12.121212121212121</v>
      </c>
      <c r="I6">
        <v>0</v>
      </c>
      <c r="J6" s="3">
        <f t="shared" ref="J6:J34" si="6">(I6/B6)*100</f>
        <v>0</v>
      </c>
      <c r="K6" s="2">
        <v>22</v>
      </c>
      <c r="L6" s="3">
        <f t="shared" si="2"/>
        <v>16.666666666666664</v>
      </c>
      <c r="M6" s="2">
        <v>0</v>
      </c>
      <c r="N6" s="3">
        <f t="shared" si="3"/>
        <v>0</v>
      </c>
      <c r="O6" s="2">
        <v>0</v>
      </c>
      <c r="P6" s="3">
        <f t="shared" si="4"/>
        <v>0</v>
      </c>
    </row>
    <row r="7" spans="1:16">
      <c r="A7" t="s">
        <v>135</v>
      </c>
      <c r="B7" s="2">
        <v>7</v>
      </c>
      <c r="C7" s="2">
        <v>7</v>
      </c>
      <c r="D7" s="3">
        <f t="shared" si="0"/>
        <v>100</v>
      </c>
      <c r="E7" s="2">
        <v>5</v>
      </c>
      <c r="F7" s="3">
        <f t="shared" si="1"/>
        <v>71.428571428571431</v>
      </c>
      <c r="G7">
        <v>0</v>
      </c>
      <c r="H7" s="3">
        <f t="shared" si="5"/>
        <v>0</v>
      </c>
      <c r="I7">
        <v>0</v>
      </c>
      <c r="J7" s="3">
        <f t="shared" si="6"/>
        <v>0</v>
      </c>
      <c r="K7" s="2">
        <v>2</v>
      </c>
      <c r="L7" s="3">
        <f t="shared" si="2"/>
        <v>28.571428571428569</v>
      </c>
      <c r="M7" s="2">
        <v>0</v>
      </c>
      <c r="N7" s="3">
        <f t="shared" si="3"/>
        <v>0</v>
      </c>
      <c r="O7" s="2">
        <v>0</v>
      </c>
      <c r="P7" s="3">
        <f t="shared" si="4"/>
        <v>0</v>
      </c>
    </row>
    <row r="8" spans="1:16">
      <c r="A8" t="s">
        <v>184</v>
      </c>
      <c r="B8" s="2">
        <v>136</v>
      </c>
      <c r="C8" s="2">
        <v>136</v>
      </c>
      <c r="D8" s="3">
        <f t="shared" si="0"/>
        <v>100</v>
      </c>
      <c r="E8" s="2">
        <v>81</v>
      </c>
      <c r="F8" s="3">
        <f t="shared" si="1"/>
        <v>59.558823529411761</v>
      </c>
      <c r="H8" s="3"/>
      <c r="J8" s="3"/>
      <c r="K8" s="2">
        <v>55</v>
      </c>
      <c r="L8" s="3">
        <f t="shared" si="2"/>
        <v>40.441176470588239</v>
      </c>
      <c r="M8" s="2">
        <v>0</v>
      </c>
      <c r="N8" s="3">
        <f t="shared" si="3"/>
        <v>0</v>
      </c>
      <c r="O8" s="2">
        <v>0</v>
      </c>
      <c r="P8" s="3">
        <f t="shared" si="4"/>
        <v>0</v>
      </c>
    </row>
    <row r="9" spans="1:16">
      <c r="A9" t="s">
        <v>136</v>
      </c>
      <c r="B9" s="2">
        <v>54</v>
      </c>
      <c r="C9" s="2">
        <v>51</v>
      </c>
      <c r="D9" s="3">
        <f t="shared" si="0"/>
        <v>94.444444444444443</v>
      </c>
      <c r="E9" s="2">
        <v>5</v>
      </c>
      <c r="F9" s="3">
        <f t="shared" si="1"/>
        <v>9.2592592592592595</v>
      </c>
      <c r="G9">
        <v>2</v>
      </c>
      <c r="H9" s="3">
        <f t="shared" si="5"/>
        <v>3.7037037037037033</v>
      </c>
      <c r="I9">
        <v>1</v>
      </c>
      <c r="J9" s="3">
        <f t="shared" si="6"/>
        <v>1.8518518518518516</v>
      </c>
      <c r="K9" s="2">
        <v>43</v>
      </c>
      <c r="L9" s="3">
        <f t="shared" si="2"/>
        <v>79.629629629629633</v>
      </c>
      <c r="M9" s="2">
        <v>3</v>
      </c>
      <c r="N9" s="3">
        <f t="shared" si="3"/>
        <v>5.5555555555555554</v>
      </c>
      <c r="O9" s="2">
        <v>0</v>
      </c>
      <c r="P9" s="3">
        <f t="shared" si="4"/>
        <v>0</v>
      </c>
    </row>
    <row r="10" spans="1:16">
      <c r="A10" t="s">
        <v>137</v>
      </c>
      <c r="B10" s="2">
        <v>27</v>
      </c>
      <c r="C10" s="2">
        <v>27</v>
      </c>
      <c r="D10" s="3">
        <f t="shared" si="0"/>
        <v>100</v>
      </c>
      <c r="E10" s="2">
        <v>17</v>
      </c>
      <c r="F10" s="3">
        <f t="shared" si="1"/>
        <v>62.962962962962962</v>
      </c>
      <c r="G10">
        <v>2</v>
      </c>
      <c r="H10" s="3">
        <f t="shared" si="5"/>
        <v>7.4074074074074066</v>
      </c>
      <c r="I10">
        <v>0</v>
      </c>
      <c r="J10" s="3">
        <f t="shared" si="6"/>
        <v>0</v>
      </c>
      <c r="K10" s="2">
        <v>10</v>
      </c>
      <c r="L10" s="3">
        <f t="shared" si="2"/>
        <v>37.037037037037038</v>
      </c>
      <c r="M10" s="2">
        <v>0</v>
      </c>
      <c r="N10" s="3">
        <f t="shared" si="3"/>
        <v>0</v>
      </c>
      <c r="O10" s="2">
        <v>0</v>
      </c>
      <c r="P10" s="3">
        <f t="shared" si="4"/>
        <v>0</v>
      </c>
    </row>
    <row r="11" spans="1:16">
      <c r="A11" t="s">
        <v>202</v>
      </c>
      <c r="B11" s="2">
        <v>19</v>
      </c>
      <c r="C11" s="2">
        <v>19</v>
      </c>
      <c r="D11" s="3">
        <f t="shared" si="0"/>
        <v>100</v>
      </c>
      <c r="E11" s="2">
        <v>0</v>
      </c>
      <c r="F11" s="3">
        <f t="shared" si="1"/>
        <v>0</v>
      </c>
      <c r="H11" s="3"/>
      <c r="J11" s="3"/>
      <c r="K11" s="2">
        <v>19</v>
      </c>
      <c r="L11" s="3">
        <f t="shared" si="2"/>
        <v>100</v>
      </c>
      <c r="M11" s="2">
        <v>0</v>
      </c>
      <c r="N11" s="3">
        <f t="shared" si="3"/>
        <v>0</v>
      </c>
      <c r="O11" s="2">
        <v>0</v>
      </c>
      <c r="P11" s="3">
        <f t="shared" si="4"/>
        <v>0</v>
      </c>
    </row>
    <row r="12" spans="1:16">
      <c r="A12" t="s">
        <v>204</v>
      </c>
      <c r="B12" s="2">
        <v>20</v>
      </c>
      <c r="C12" s="2">
        <v>20</v>
      </c>
      <c r="D12" s="3">
        <f t="shared" si="0"/>
        <v>100</v>
      </c>
      <c r="E12" s="2">
        <v>13</v>
      </c>
      <c r="F12" s="3">
        <f t="shared" si="1"/>
        <v>65</v>
      </c>
      <c r="G12">
        <v>3</v>
      </c>
      <c r="H12" s="3">
        <f t="shared" si="5"/>
        <v>15</v>
      </c>
      <c r="I12">
        <v>0</v>
      </c>
      <c r="J12" s="3">
        <f t="shared" si="6"/>
        <v>0</v>
      </c>
      <c r="K12" s="2">
        <v>7</v>
      </c>
      <c r="L12" s="3">
        <f t="shared" si="2"/>
        <v>35</v>
      </c>
      <c r="M12" s="2">
        <v>0</v>
      </c>
      <c r="N12" s="3">
        <f t="shared" si="3"/>
        <v>0</v>
      </c>
      <c r="O12" s="2">
        <v>0</v>
      </c>
      <c r="P12" s="3">
        <f t="shared" si="4"/>
        <v>0</v>
      </c>
    </row>
    <row r="13" spans="1:16">
      <c r="A13" t="s">
        <v>128</v>
      </c>
      <c r="B13" s="2">
        <v>154</v>
      </c>
      <c r="C13" s="2">
        <v>154</v>
      </c>
      <c r="D13" s="3">
        <f t="shared" si="0"/>
        <v>100</v>
      </c>
      <c r="E13" s="2">
        <v>118</v>
      </c>
      <c r="F13" s="3">
        <f t="shared" si="1"/>
        <v>76.623376623376629</v>
      </c>
      <c r="H13" s="3"/>
      <c r="J13" s="3"/>
      <c r="K13" s="2">
        <v>36</v>
      </c>
      <c r="L13" s="3">
        <f t="shared" si="2"/>
        <v>23.376623376623375</v>
      </c>
      <c r="M13" s="2">
        <v>0</v>
      </c>
      <c r="N13" s="3">
        <f t="shared" si="3"/>
        <v>0</v>
      </c>
      <c r="O13" s="2">
        <v>0</v>
      </c>
      <c r="P13" s="3">
        <f t="shared" si="4"/>
        <v>0</v>
      </c>
    </row>
    <row r="14" spans="1:16">
      <c r="A14" t="s">
        <v>138</v>
      </c>
      <c r="B14" s="2">
        <v>32</v>
      </c>
      <c r="C14" s="2">
        <v>32</v>
      </c>
      <c r="D14" s="3">
        <f t="shared" si="0"/>
        <v>100</v>
      </c>
      <c r="E14" s="2">
        <v>28</v>
      </c>
      <c r="F14" s="3">
        <f t="shared" si="1"/>
        <v>87.5</v>
      </c>
      <c r="G14">
        <v>2</v>
      </c>
      <c r="H14" s="3">
        <f t="shared" si="5"/>
        <v>6.25</v>
      </c>
      <c r="I14">
        <v>0</v>
      </c>
      <c r="J14" s="3">
        <f t="shared" si="6"/>
        <v>0</v>
      </c>
      <c r="K14" s="2">
        <v>3</v>
      </c>
      <c r="L14" s="3">
        <f t="shared" si="2"/>
        <v>9.375</v>
      </c>
      <c r="M14" s="2">
        <v>1</v>
      </c>
      <c r="N14" s="3">
        <f t="shared" si="3"/>
        <v>3.125</v>
      </c>
      <c r="O14" s="2">
        <v>0</v>
      </c>
      <c r="P14" s="3">
        <f t="shared" si="4"/>
        <v>0</v>
      </c>
    </row>
    <row r="15" spans="1:16">
      <c r="A15" t="s">
        <v>119</v>
      </c>
      <c r="B15" s="2">
        <v>211</v>
      </c>
      <c r="C15" s="2">
        <v>206</v>
      </c>
      <c r="D15" s="3">
        <f t="shared" si="0"/>
        <v>97.630331753554501</v>
      </c>
      <c r="E15" s="2">
        <v>178</v>
      </c>
      <c r="F15" s="3">
        <f t="shared" si="1"/>
        <v>84.360189573459721</v>
      </c>
      <c r="G15">
        <v>59</v>
      </c>
      <c r="H15" s="3">
        <f t="shared" si="5"/>
        <v>27.962085308056871</v>
      </c>
      <c r="I15">
        <v>9</v>
      </c>
      <c r="J15" s="3">
        <f t="shared" si="6"/>
        <v>4.2654028436018958</v>
      </c>
      <c r="K15" s="2">
        <v>26</v>
      </c>
      <c r="L15" s="3">
        <f t="shared" si="2"/>
        <v>12.322274881516588</v>
      </c>
      <c r="M15" s="2">
        <v>2</v>
      </c>
      <c r="N15" s="3">
        <f t="shared" si="3"/>
        <v>0.94786729857819907</v>
      </c>
      <c r="O15" s="2">
        <v>0</v>
      </c>
      <c r="P15" s="3">
        <f t="shared" si="4"/>
        <v>0</v>
      </c>
    </row>
    <row r="16" spans="1:16">
      <c r="A16" t="s">
        <v>129</v>
      </c>
      <c r="B16" s="2">
        <v>110</v>
      </c>
      <c r="C16" s="2">
        <v>106</v>
      </c>
      <c r="D16" s="3">
        <f t="shared" si="0"/>
        <v>96.36363636363636</v>
      </c>
      <c r="E16" s="2">
        <v>65</v>
      </c>
      <c r="F16" s="3">
        <f t="shared" si="1"/>
        <v>59.090909090909093</v>
      </c>
      <c r="G16">
        <v>27</v>
      </c>
      <c r="H16" s="3">
        <f t="shared" si="5"/>
        <v>24.545454545454547</v>
      </c>
      <c r="I16">
        <v>0</v>
      </c>
      <c r="J16" s="3">
        <f t="shared" si="6"/>
        <v>0</v>
      </c>
      <c r="K16" s="2">
        <v>38</v>
      </c>
      <c r="L16" s="3">
        <f t="shared" si="2"/>
        <v>34.545454545454547</v>
      </c>
      <c r="M16" s="2">
        <v>3</v>
      </c>
      <c r="N16" s="3">
        <f t="shared" si="3"/>
        <v>2.7272727272727271</v>
      </c>
      <c r="O16" s="2">
        <v>0</v>
      </c>
      <c r="P16" s="3">
        <f t="shared" si="4"/>
        <v>0</v>
      </c>
    </row>
    <row r="17" spans="1:16">
      <c r="A17" t="s">
        <v>120</v>
      </c>
      <c r="B17" s="2">
        <v>214</v>
      </c>
      <c r="C17" s="2">
        <v>213</v>
      </c>
      <c r="D17" s="3">
        <f t="shared" si="0"/>
        <v>99.532710280373834</v>
      </c>
      <c r="E17" s="2">
        <v>169</v>
      </c>
      <c r="F17" s="3">
        <f t="shared" si="1"/>
        <v>78.971962616822438</v>
      </c>
      <c r="H17" s="3"/>
      <c r="J17" s="3"/>
      <c r="K17" s="2">
        <v>44</v>
      </c>
      <c r="L17" s="3">
        <f t="shared" si="2"/>
        <v>20.5607476635514</v>
      </c>
      <c r="M17" s="2">
        <v>0</v>
      </c>
      <c r="N17" s="3">
        <f t="shared" si="3"/>
        <v>0</v>
      </c>
      <c r="O17" s="2">
        <v>1</v>
      </c>
      <c r="P17" s="3">
        <f t="shared" si="4"/>
        <v>0.46728971962616817</v>
      </c>
    </row>
    <row r="18" spans="1:16">
      <c r="A18" t="s">
        <v>228</v>
      </c>
      <c r="B18" s="2">
        <v>85</v>
      </c>
      <c r="C18" s="2">
        <v>85</v>
      </c>
      <c r="D18" s="3">
        <f t="shared" si="0"/>
        <v>100</v>
      </c>
      <c r="E18" s="2">
        <v>79</v>
      </c>
      <c r="F18" s="3">
        <f t="shared" si="1"/>
        <v>92.941176470588232</v>
      </c>
      <c r="G18">
        <v>18</v>
      </c>
      <c r="H18" s="3">
        <f t="shared" si="5"/>
        <v>21.176470588235293</v>
      </c>
      <c r="I18">
        <v>0</v>
      </c>
      <c r="J18" s="3">
        <f t="shared" si="6"/>
        <v>0</v>
      </c>
      <c r="K18" s="2">
        <v>6</v>
      </c>
      <c r="L18" s="3">
        <f t="shared" si="2"/>
        <v>7.0588235294117645</v>
      </c>
      <c r="M18" s="2">
        <v>0</v>
      </c>
      <c r="N18" s="3">
        <f t="shared" si="3"/>
        <v>0</v>
      </c>
      <c r="O18" s="2">
        <v>0</v>
      </c>
      <c r="P18" s="3">
        <f t="shared" si="4"/>
        <v>0</v>
      </c>
    </row>
    <row r="19" spans="1:16">
      <c r="A19" t="s">
        <v>233</v>
      </c>
      <c r="B19" s="2">
        <v>47</v>
      </c>
      <c r="C19" s="2">
        <v>47</v>
      </c>
      <c r="D19" s="3">
        <f t="shared" si="0"/>
        <v>100</v>
      </c>
      <c r="E19" s="2">
        <v>41</v>
      </c>
      <c r="F19" s="3">
        <f t="shared" si="1"/>
        <v>87.2340425531915</v>
      </c>
      <c r="G19">
        <v>9</v>
      </c>
      <c r="H19" s="3">
        <f t="shared" si="5"/>
        <v>19.148936170212767</v>
      </c>
      <c r="I19">
        <v>0</v>
      </c>
      <c r="J19" s="3">
        <f t="shared" si="6"/>
        <v>0</v>
      </c>
      <c r="K19" s="2">
        <v>5</v>
      </c>
      <c r="L19" s="3">
        <f t="shared" si="2"/>
        <v>10.638297872340425</v>
      </c>
      <c r="M19" s="2">
        <v>1</v>
      </c>
      <c r="N19" s="3">
        <f t="shared" si="3"/>
        <v>2.1276595744680851</v>
      </c>
      <c r="O19" s="2">
        <v>0</v>
      </c>
      <c r="P19" s="3">
        <f t="shared" si="4"/>
        <v>0</v>
      </c>
    </row>
    <row r="20" spans="1:16">
      <c r="A20" t="s">
        <v>116</v>
      </c>
      <c r="B20" s="2">
        <v>38</v>
      </c>
      <c r="C20" s="2">
        <v>36</v>
      </c>
      <c r="D20" s="3">
        <f t="shared" si="0"/>
        <v>94.73684210526315</v>
      </c>
      <c r="E20" s="2">
        <v>33</v>
      </c>
      <c r="F20" s="3">
        <f t="shared" si="1"/>
        <v>86.842105263157904</v>
      </c>
      <c r="G20">
        <v>3</v>
      </c>
      <c r="H20" s="3">
        <f t="shared" si="5"/>
        <v>7.8947368421052628</v>
      </c>
      <c r="I20">
        <v>0</v>
      </c>
      <c r="J20" s="3">
        <f t="shared" si="6"/>
        <v>0</v>
      </c>
      <c r="K20" s="2">
        <v>3</v>
      </c>
      <c r="L20" s="3">
        <f t="shared" si="2"/>
        <v>7.8947368421052628</v>
      </c>
      <c r="M20" s="2">
        <v>0</v>
      </c>
      <c r="N20" s="3">
        <f t="shared" si="3"/>
        <v>0</v>
      </c>
      <c r="O20" s="2">
        <v>0</v>
      </c>
      <c r="P20" s="3">
        <f t="shared" si="4"/>
        <v>0</v>
      </c>
    </row>
    <row r="21" spans="1:16">
      <c r="A21" t="s">
        <v>121</v>
      </c>
      <c r="B21" s="2">
        <v>55</v>
      </c>
      <c r="C21" s="2">
        <v>55</v>
      </c>
      <c r="D21" s="3">
        <f t="shared" si="0"/>
        <v>100</v>
      </c>
      <c r="E21" s="2">
        <v>50</v>
      </c>
      <c r="F21" s="3">
        <f t="shared" si="1"/>
        <v>90.909090909090907</v>
      </c>
      <c r="G21">
        <v>3</v>
      </c>
      <c r="H21" s="3">
        <f t="shared" si="5"/>
        <v>5.4545454545454541</v>
      </c>
      <c r="I21">
        <v>0</v>
      </c>
      <c r="J21" s="3">
        <f t="shared" si="6"/>
        <v>0</v>
      </c>
      <c r="K21" s="2">
        <v>1</v>
      </c>
      <c r="L21" s="3">
        <f t="shared" si="2"/>
        <v>1.8181818181818181</v>
      </c>
      <c r="M21" s="2">
        <v>4</v>
      </c>
      <c r="N21" s="3">
        <f t="shared" si="3"/>
        <v>7.2727272727272725</v>
      </c>
      <c r="O21" s="2">
        <v>0</v>
      </c>
      <c r="P21" s="3">
        <f t="shared" si="4"/>
        <v>0</v>
      </c>
    </row>
    <row r="22" spans="1:16">
      <c r="A22" t="s">
        <v>122</v>
      </c>
      <c r="B22" s="2">
        <v>46</v>
      </c>
      <c r="C22" s="2">
        <v>43</v>
      </c>
      <c r="D22" s="3">
        <f t="shared" si="0"/>
        <v>93.478260869565219</v>
      </c>
      <c r="E22" s="2">
        <v>23</v>
      </c>
      <c r="F22" s="3">
        <f t="shared" si="1"/>
        <v>50</v>
      </c>
      <c r="H22" s="3"/>
      <c r="J22" s="3"/>
      <c r="K22" s="2">
        <v>20</v>
      </c>
      <c r="L22" s="3">
        <f t="shared" si="2"/>
        <v>43.478260869565219</v>
      </c>
      <c r="M22" s="2">
        <v>0</v>
      </c>
      <c r="N22" s="3">
        <f t="shared" si="3"/>
        <v>0</v>
      </c>
      <c r="O22" s="2">
        <v>0</v>
      </c>
      <c r="P22" s="3">
        <f t="shared" si="4"/>
        <v>0</v>
      </c>
    </row>
    <row r="23" spans="1:16">
      <c r="A23" t="s">
        <v>123</v>
      </c>
      <c r="B23" s="2">
        <v>147</v>
      </c>
      <c r="C23" s="2">
        <v>145</v>
      </c>
      <c r="D23" s="3">
        <f t="shared" si="0"/>
        <v>98.639455782312922</v>
      </c>
      <c r="E23" s="2">
        <v>94</v>
      </c>
      <c r="F23" s="3">
        <f t="shared" si="1"/>
        <v>63.945578231292522</v>
      </c>
      <c r="G23">
        <v>20</v>
      </c>
      <c r="H23" s="3">
        <f t="shared" si="5"/>
        <v>13.605442176870749</v>
      </c>
      <c r="I23">
        <v>0</v>
      </c>
      <c r="J23" s="3">
        <f t="shared" si="6"/>
        <v>0</v>
      </c>
      <c r="K23" s="2">
        <v>45</v>
      </c>
      <c r="L23" s="3">
        <f t="shared" si="2"/>
        <v>30.612244897959183</v>
      </c>
      <c r="M23" s="2">
        <v>6</v>
      </c>
      <c r="N23" s="3">
        <f t="shared" si="3"/>
        <v>4.0816326530612246</v>
      </c>
      <c r="O23" s="2">
        <v>0</v>
      </c>
      <c r="P23" s="3">
        <f t="shared" si="4"/>
        <v>0</v>
      </c>
    </row>
    <row r="24" spans="1:16">
      <c r="A24" t="s">
        <v>139</v>
      </c>
      <c r="B24" s="2">
        <v>230</v>
      </c>
      <c r="C24" s="2">
        <v>228</v>
      </c>
      <c r="D24" s="3">
        <f t="shared" si="0"/>
        <v>99.130434782608702</v>
      </c>
      <c r="E24" s="2">
        <v>183</v>
      </c>
      <c r="F24" s="3">
        <f t="shared" si="1"/>
        <v>79.565217391304344</v>
      </c>
      <c r="G24">
        <v>43</v>
      </c>
      <c r="H24" s="3">
        <f t="shared" si="5"/>
        <v>18.695652173913043</v>
      </c>
      <c r="I24">
        <v>0</v>
      </c>
      <c r="J24" s="3">
        <f t="shared" si="6"/>
        <v>0</v>
      </c>
      <c r="K24" s="2">
        <v>26</v>
      </c>
      <c r="L24" s="3">
        <f t="shared" si="2"/>
        <v>11.304347826086957</v>
      </c>
      <c r="M24" s="2">
        <v>19</v>
      </c>
      <c r="N24" s="3">
        <f t="shared" si="3"/>
        <v>8.2608695652173907</v>
      </c>
      <c r="O24" s="2">
        <v>2</v>
      </c>
      <c r="P24" s="3">
        <f t="shared" si="4"/>
        <v>0.86956521739130432</v>
      </c>
    </row>
    <row r="25" spans="1:16">
      <c r="A25" t="s">
        <v>140</v>
      </c>
      <c r="B25" s="2">
        <v>222</v>
      </c>
      <c r="C25" s="2">
        <v>221</v>
      </c>
      <c r="D25" s="3">
        <f t="shared" si="0"/>
        <v>99.549549549549553</v>
      </c>
      <c r="E25" s="2">
        <v>152</v>
      </c>
      <c r="F25" s="3">
        <f t="shared" si="1"/>
        <v>68.468468468468473</v>
      </c>
      <c r="G25">
        <v>22</v>
      </c>
      <c r="H25" s="3">
        <f t="shared" si="5"/>
        <v>9.9099099099099099</v>
      </c>
      <c r="I25">
        <v>6</v>
      </c>
      <c r="J25" s="3">
        <f t="shared" si="6"/>
        <v>2.7027027027027026</v>
      </c>
      <c r="K25" s="2">
        <v>51</v>
      </c>
      <c r="L25" s="3">
        <f t="shared" si="2"/>
        <v>22.972972972972975</v>
      </c>
      <c r="M25" s="2">
        <v>18</v>
      </c>
      <c r="N25" s="3">
        <f t="shared" si="3"/>
        <v>8.1081081081081088</v>
      </c>
      <c r="O25" s="2">
        <v>0</v>
      </c>
      <c r="P25" s="3">
        <f t="shared" si="4"/>
        <v>0</v>
      </c>
    </row>
    <row r="26" spans="1:16">
      <c r="A26" t="s">
        <v>271</v>
      </c>
      <c r="B26" s="2">
        <v>89</v>
      </c>
      <c r="C26" s="2">
        <v>86</v>
      </c>
      <c r="D26" s="3">
        <f t="shared" si="0"/>
        <v>96.629213483146074</v>
      </c>
      <c r="E26" s="2">
        <v>56</v>
      </c>
      <c r="F26" s="3">
        <f t="shared" si="1"/>
        <v>62.921348314606739</v>
      </c>
      <c r="G26">
        <v>37</v>
      </c>
      <c r="H26" s="3">
        <f t="shared" si="5"/>
        <v>41.573033707865171</v>
      </c>
      <c r="I26">
        <v>4</v>
      </c>
      <c r="J26" s="3">
        <f t="shared" si="6"/>
        <v>4.4943820224719104</v>
      </c>
      <c r="K26" s="2">
        <v>28</v>
      </c>
      <c r="L26" s="3">
        <f t="shared" si="2"/>
        <v>31.460674157303369</v>
      </c>
      <c r="M26" s="2">
        <v>2</v>
      </c>
      <c r="N26" s="3">
        <f t="shared" si="3"/>
        <v>2.2471910112359552</v>
      </c>
      <c r="O26" s="2">
        <v>0</v>
      </c>
      <c r="P26" s="3">
        <f t="shared" si="4"/>
        <v>0</v>
      </c>
    </row>
    <row r="27" spans="1:16">
      <c r="A27" t="s">
        <v>277</v>
      </c>
      <c r="B27" s="2">
        <v>81</v>
      </c>
      <c r="C27" s="2">
        <v>80</v>
      </c>
      <c r="D27" s="3">
        <f t="shared" si="0"/>
        <v>98.76543209876543</v>
      </c>
      <c r="E27" s="2">
        <v>33</v>
      </c>
      <c r="F27" s="3">
        <f t="shared" si="1"/>
        <v>40.74074074074074</v>
      </c>
      <c r="G27">
        <v>18</v>
      </c>
      <c r="H27" s="3">
        <f t="shared" si="5"/>
        <v>22.222222222222221</v>
      </c>
      <c r="I27">
        <v>0</v>
      </c>
      <c r="J27" s="3">
        <f t="shared" si="6"/>
        <v>0</v>
      </c>
      <c r="K27" s="2">
        <v>47</v>
      </c>
      <c r="L27" s="3">
        <f t="shared" si="2"/>
        <v>58.024691358024697</v>
      </c>
      <c r="M27" s="2">
        <v>0</v>
      </c>
      <c r="N27" s="3">
        <f t="shared" si="3"/>
        <v>0</v>
      </c>
      <c r="O27" s="2">
        <v>0</v>
      </c>
      <c r="P27" s="3">
        <f t="shared" si="4"/>
        <v>0</v>
      </c>
    </row>
    <row r="28" spans="1:16">
      <c r="A28" t="s">
        <v>130</v>
      </c>
      <c r="B28" s="2">
        <v>339</v>
      </c>
      <c r="C28" s="2">
        <v>338</v>
      </c>
      <c r="D28" s="3">
        <f t="shared" si="0"/>
        <v>99.705014749262531</v>
      </c>
      <c r="E28" s="2">
        <v>265</v>
      </c>
      <c r="F28" s="3">
        <f t="shared" si="1"/>
        <v>78.171091445427734</v>
      </c>
      <c r="G28">
        <v>66</v>
      </c>
      <c r="H28" s="3">
        <f t="shared" si="5"/>
        <v>19.469026548672566</v>
      </c>
      <c r="I28">
        <v>0</v>
      </c>
      <c r="J28" s="3">
        <f t="shared" si="6"/>
        <v>0</v>
      </c>
      <c r="K28" s="2">
        <v>57</v>
      </c>
      <c r="L28" s="3">
        <f t="shared" si="2"/>
        <v>16.814159292035399</v>
      </c>
      <c r="M28" s="2">
        <v>16</v>
      </c>
      <c r="N28" s="3">
        <f t="shared" si="3"/>
        <v>4.71976401179941</v>
      </c>
      <c r="O28" s="2">
        <v>1</v>
      </c>
      <c r="P28" s="3">
        <f t="shared" si="4"/>
        <v>0.29498525073746312</v>
      </c>
    </row>
    <row r="29" spans="1:16">
      <c r="A29" t="s">
        <v>288</v>
      </c>
      <c r="B29" s="2">
        <v>10</v>
      </c>
      <c r="C29" s="2">
        <v>10</v>
      </c>
      <c r="D29" s="3">
        <f t="shared" si="0"/>
        <v>100</v>
      </c>
      <c r="E29" s="2">
        <v>2</v>
      </c>
      <c r="F29" s="3">
        <f t="shared" si="1"/>
        <v>20</v>
      </c>
      <c r="H29" s="3"/>
      <c r="J29" s="3"/>
      <c r="K29" s="2">
        <v>8</v>
      </c>
      <c r="L29" s="3">
        <f t="shared" si="2"/>
        <v>80</v>
      </c>
      <c r="M29" s="2">
        <v>0</v>
      </c>
      <c r="N29" s="3">
        <f t="shared" si="3"/>
        <v>0</v>
      </c>
      <c r="O29" s="2">
        <v>0</v>
      </c>
      <c r="P29" s="3">
        <f t="shared" si="4"/>
        <v>0</v>
      </c>
    </row>
    <row r="30" spans="1:16" ht="14.65" thickBot="1">
      <c r="A30" s="5" t="s">
        <v>427</v>
      </c>
      <c r="B30" s="6">
        <v>109</v>
      </c>
      <c r="C30" s="6">
        <v>109</v>
      </c>
      <c r="D30" s="7">
        <f t="shared" si="0"/>
        <v>100</v>
      </c>
      <c r="E30" s="6">
        <v>69</v>
      </c>
      <c r="F30" s="7">
        <f t="shared" si="1"/>
        <v>63.302752293577981</v>
      </c>
      <c r="G30" s="5">
        <v>28</v>
      </c>
      <c r="H30" s="7">
        <f t="shared" si="5"/>
        <v>25.688073394495415</v>
      </c>
      <c r="I30" s="5">
        <v>2</v>
      </c>
      <c r="J30" s="7">
        <f t="shared" si="6"/>
        <v>1.834862385321101</v>
      </c>
      <c r="K30" s="6">
        <v>40</v>
      </c>
      <c r="L30" s="7">
        <f t="shared" si="2"/>
        <v>36.697247706422019</v>
      </c>
      <c r="M30" s="6">
        <v>0</v>
      </c>
      <c r="N30" s="7">
        <f t="shared" si="3"/>
        <v>0</v>
      </c>
      <c r="O30" s="6">
        <v>0</v>
      </c>
      <c r="P30" s="7">
        <f t="shared" si="4"/>
        <v>0</v>
      </c>
    </row>
    <row r="31" spans="1:16" ht="14.65" thickBot="1">
      <c r="A31" s="4" t="s">
        <v>679</v>
      </c>
      <c r="B31" s="8">
        <f>SUM(B3:B30)</f>
        <v>3120</v>
      </c>
      <c r="C31" s="8">
        <f>SUM(C3:C30)</f>
        <v>3081</v>
      </c>
      <c r="D31" s="9">
        <f t="shared" si="0"/>
        <v>98.75</v>
      </c>
      <c r="E31" s="8">
        <f>SUM(E3:E30)</f>
        <v>2320</v>
      </c>
      <c r="F31" s="9">
        <f t="shared" si="1"/>
        <v>74.358974358974365</v>
      </c>
      <c r="G31" s="4">
        <f>SUM(G3:G30)</f>
        <v>478</v>
      </c>
      <c r="H31" s="9">
        <f t="shared" si="5"/>
        <v>15.320512820512821</v>
      </c>
      <c r="I31" s="4">
        <f>SUM(I3:I30)</f>
        <v>28</v>
      </c>
      <c r="J31" s="9">
        <f t="shared" si="6"/>
        <v>0.89743589743589736</v>
      </c>
      <c r="K31" s="8">
        <f>SUM(K3:K30)</f>
        <v>683</v>
      </c>
      <c r="L31" s="9">
        <f t="shared" si="2"/>
        <v>21.891025641025642</v>
      </c>
      <c r="M31" s="8">
        <f>SUM(M3:M30)</f>
        <v>80</v>
      </c>
      <c r="N31" s="9">
        <f t="shared" si="3"/>
        <v>2.5641025641025639</v>
      </c>
      <c r="O31" s="8">
        <f>SUM(O3:O30)</f>
        <v>4</v>
      </c>
      <c r="P31" s="9">
        <f t="shared" si="4"/>
        <v>0.12820512820512819</v>
      </c>
    </row>
    <row r="32" spans="1:16">
      <c r="A32" t="s">
        <v>436</v>
      </c>
      <c r="B32" s="2">
        <v>2</v>
      </c>
      <c r="C32" s="2">
        <v>2</v>
      </c>
      <c r="D32" s="3">
        <f t="shared" si="0"/>
        <v>100</v>
      </c>
      <c r="E32" s="2">
        <v>2</v>
      </c>
      <c r="F32" s="3">
        <f t="shared" si="1"/>
        <v>100</v>
      </c>
      <c r="G32">
        <v>0</v>
      </c>
      <c r="H32" s="3">
        <f t="shared" si="5"/>
        <v>0</v>
      </c>
      <c r="I32">
        <v>0</v>
      </c>
      <c r="J32" s="3">
        <f t="shared" si="6"/>
        <v>0</v>
      </c>
      <c r="K32" s="2">
        <v>0</v>
      </c>
      <c r="L32" s="3">
        <f t="shared" si="2"/>
        <v>0</v>
      </c>
      <c r="M32" s="2">
        <v>0</v>
      </c>
      <c r="N32" s="3">
        <f t="shared" si="3"/>
        <v>0</v>
      </c>
      <c r="O32" s="2">
        <v>0</v>
      </c>
      <c r="P32" s="3">
        <f t="shared" si="4"/>
        <v>0</v>
      </c>
    </row>
    <row r="33" spans="1:16">
      <c r="A33" t="s">
        <v>437</v>
      </c>
      <c r="B33" s="2">
        <v>66</v>
      </c>
      <c r="C33" s="2">
        <v>65</v>
      </c>
      <c r="D33" s="3">
        <f>(C33/B33)*100</f>
        <v>98.484848484848484</v>
      </c>
      <c r="E33" s="2">
        <v>6</v>
      </c>
      <c r="F33" s="3">
        <f>(E33/B33)*100</f>
        <v>9.0909090909090917</v>
      </c>
      <c r="K33" s="2">
        <v>59</v>
      </c>
      <c r="L33" s="3">
        <f>(K33/B33)*100</f>
        <v>89.393939393939391</v>
      </c>
      <c r="M33" s="2">
        <v>0</v>
      </c>
      <c r="N33" s="3">
        <f>(M33/B33)*100</f>
        <v>0</v>
      </c>
      <c r="O33" s="2">
        <v>0</v>
      </c>
      <c r="P33" s="3">
        <f>(O33/B33)*100</f>
        <v>0</v>
      </c>
    </row>
    <row r="34" spans="1:16" ht="14.65" thickBot="1">
      <c r="A34" s="5" t="s">
        <v>142</v>
      </c>
      <c r="B34" s="6">
        <v>19</v>
      </c>
      <c r="C34" s="6">
        <v>19</v>
      </c>
      <c r="D34" s="7">
        <f t="shared" si="0"/>
        <v>100</v>
      </c>
      <c r="E34" s="6">
        <v>12</v>
      </c>
      <c r="F34" s="7">
        <f t="shared" si="1"/>
        <v>63.157894736842103</v>
      </c>
      <c r="G34" s="5">
        <v>1</v>
      </c>
      <c r="H34" s="7">
        <f t="shared" si="5"/>
        <v>5.2631578947368416</v>
      </c>
      <c r="I34" s="5">
        <v>0</v>
      </c>
      <c r="J34" s="7">
        <f t="shared" si="6"/>
        <v>0</v>
      </c>
      <c r="K34" s="6">
        <v>6</v>
      </c>
      <c r="L34" s="7">
        <f t="shared" si="2"/>
        <v>31.578947368421051</v>
      </c>
      <c r="M34" s="6">
        <v>1</v>
      </c>
      <c r="N34" s="7">
        <f t="shared" si="3"/>
        <v>5.2631578947368416</v>
      </c>
      <c r="O34" s="6">
        <v>0</v>
      </c>
      <c r="P34" s="7">
        <f t="shared" si="4"/>
        <v>0</v>
      </c>
    </row>
    <row r="35" spans="1:16" ht="14.65" thickBot="1">
      <c r="A35" s="4" t="s">
        <v>444</v>
      </c>
      <c r="B35" s="8">
        <v>87</v>
      </c>
      <c r="C35" s="8">
        <v>86</v>
      </c>
      <c r="D35" s="9">
        <f t="shared" si="0"/>
        <v>98.850574712643677</v>
      </c>
      <c r="E35" s="8">
        <v>20</v>
      </c>
      <c r="F35" s="9">
        <f t="shared" si="1"/>
        <v>22.988505747126435</v>
      </c>
      <c r="G35" s="4">
        <v>1</v>
      </c>
      <c r="H35" s="9">
        <f t="shared" ref="H35:H36" si="7">(G35/B35)*100</f>
        <v>1.1494252873563218</v>
      </c>
      <c r="I35" s="4">
        <v>0</v>
      </c>
      <c r="J35" s="9">
        <f t="shared" ref="J35:J36" si="8">(I35/B35)*100</f>
        <v>0</v>
      </c>
      <c r="K35" s="8">
        <v>65</v>
      </c>
      <c r="L35" s="9">
        <f t="shared" si="2"/>
        <v>74.712643678160916</v>
      </c>
      <c r="M35" s="8">
        <v>1</v>
      </c>
      <c r="N35" s="9">
        <f t="shared" si="3"/>
        <v>1.1494252873563218</v>
      </c>
      <c r="O35" s="8">
        <v>0</v>
      </c>
      <c r="P35" s="9">
        <f t="shared" si="4"/>
        <v>0</v>
      </c>
    </row>
    <row r="36" spans="1:16" ht="14.65" thickBot="1">
      <c r="A36" s="4" t="s">
        <v>311</v>
      </c>
      <c r="B36" s="8">
        <f>B31+B35</f>
        <v>3207</v>
      </c>
      <c r="C36" s="8">
        <f>C31+C35</f>
        <v>3167</v>
      </c>
      <c r="D36" s="9">
        <f t="shared" si="0"/>
        <v>98.75272840661053</v>
      </c>
      <c r="E36" s="8">
        <f>E31+E35</f>
        <v>2340</v>
      </c>
      <c r="F36" s="9">
        <f t="shared" si="1"/>
        <v>72.965388213283447</v>
      </c>
      <c r="G36" s="4">
        <f>G31+G35</f>
        <v>479</v>
      </c>
      <c r="H36" s="9">
        <f t="shared" si="7"/>
        <v>14.93607733083879</v>
      </c>
      <c r="I36" s="4">
        <f>I31+I35</f>
        <v>28</v>
      </c>
      <c r="J36" s="9">
        <f t="shared" si="8"/>
        <v>0.87309011537262238</v>
      </c>
      <c r="K36" s="8">
        <f>K31+K35</f>
        <v>748</v>
      </c>
      <c r="L36" s="9">
        <f t="shared" si="2"/>
        <v>23.323978796382914</v>
      </c>
      <c r="M36" s="8">
        <f>M31+M35</f>
        <v>81</v>
      </c>
      <c r="N36" s="9">
        <f t="shared" si="3"/>
        <v>2.5257249766136578</v>
      </c>
      <c r="O36" s="8">
        <f>O31+O35</f>
        <v>4</v>
      </c>
      <c r="P36" s="9">
        <f t="shared" si="4"/>
        <v>0.12472715933894606</v>
      </c>
    </row>
    <row r="37" spans="1:16">
      <c r="A37" s="22"/>
      <c r="B37" s="23"/>
      <c r="C37" s="23"/>
      <c r="D37" s="24"/>
      <c r="E37" s="23"/>
      <c r="F37" s="24"/>
      <c r="G37" s="22"/>
      <c r="H37" s="24"/>
      <c r="I37" s="22"/>
      <c r="J37" s="24"/>
      <c r="K37" s="23"/>
      <c r="L37" s="24"/>
      <c r="M37" s="23"/>
      <c r="N37" s="24"/>
      <c r="O37" s="23"/>
      <c r="P37" s="24"/>
    </row>
    <row r="38" spans="1:16">
      <c r="A38" t="s">
        <v>133</v>
      </c>
      <c r="B38" s="23"/>
      <c r="C38" s="23"/>
      <c r="D38" s="24"/>
      <c r="E38" s="23"/>
      <c r="F38" s="24"/>
      <c r="G38" s="22"/>
      <c r="H38" s="24"/>
      <c r="I38" s="22"/>
      <c r="J38" s="24"/>
      <c r="K38" s="23"/>
      <c r="L38" s="24"/>
      <c r="M38" s="23"/>
      <c r="N38" s="24"/>
      <c r="O38" s="23"/>
      <c r="P38" s="24"/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14"/>
  <dimension ref="A1:P37"/>
  <sheetViews>
    <sheetView workbookViewId="0">
      <selection activeCell="G3" sqref="G3"/>
    </sheetView>
  </sheetViews>
  <sheetFormatPr defaultColWidth="10.7109375" defaultRowHeight="14.25"/>
  <cols>
    <col min="1" max="1" width="34.85546875" customWidth="1"/>
    <col min="8" max="8" width="13.7109375" customWidth="1"/>
    <col min="10" max="10" width="13.4257812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619</v>
      </c>
      <c r="B3" s="2">
        <v>317</v>
      </c>
      <c r="C3" s="3">
        <v>2.5236593059936907</v>
      </c>
      <c r="D3" s="14" t="s">
        <v>818</v>
      </c>
      <c r="E3" s="3">
        <v>2.5236593059936907</v>
      </c>
      <c r="F3" s="14" t="s">
        <v>818</v>
      </c>
      <c r="K3" s="3">
        <v>0</v>
      </c>
      <c r="L3" s="14" t="s">
        <v>268</v>
      </c>
      <c r="M3" s="3">
        <v>0</v>
      </c>
      <c r="N3" s="14" t="s">
        <v>268</v>
      </c>
      <c r="O3" s="3">
        <v>0</v>
      </c>
      <c r="P3" s="14" t="s">
        <v>268</v>
      </c>
    </row>
    <row r="4" spans="1:16">
      <c r="A4" t="s">
        <v>621</v>
      </c>
      <c r="B4" s="2">
        <v>313</v>
      </c>
      <c r="C4" s="3">
        <v>3.1948881789137378</v>
      </c>
      <c r="D4" s="14" t="s">
        <v>819</v>
      </c>
      <c r="E4" s="3">
        <v>1.1000000000000001</v>
      </c>
      <c r="F4" s="14" t="s">
        <v>658</v>
      </c>
      <c r="K4" s="3">
        <v>2.1299254526091582</v>
      </c>
      <c r="L4" s="14" t="s">
        <v>820</v>
      </c>
      <c r="M4" s="3">
        <v>0</v>
      </c>
      <c r="N4" s="14" t="s">
        <v>268</v>
      </c>
      <c r="O4" s="3">
        <v>0</v>
      </c>
      <c r="P4" s="14" t="s">
        <v>268</v>
      </c>
    </row>
    <row r="5" spans="1:16">
      <c r="A5" t="s">
        <v>163</v>
      </c>
      <c r="B5" s="2">
        <v>142</v>
      </c>
      <c r="C5" s="3">
        <v>4.929577464788732</v>
      </c>
      <c r="D5" s="14" t="s">
        <v>821</v>
      </c>
      <c r="E5" s="3">
        <v>4.929577464788732</v>
      </c>
      <c r="F5" s="14" t="s">
        <v>821</v>
      </c>
      <c r="G5" s="3">
        <v>0.70422535211267601</v>
      </c>
      <c r="H5" t="s">
        <v>822</v>
      </c>
      <c r="I5" s="3">
        <v>0</v>
      </c>
      <c r="J5" t="s">
        <v>823</v>
      </c>
      <c r="K5" s="3">
        <v>0</v>
      </c>
      <c r="L5" s="14" t="s">
        <v>557</v>
      </c>
      <c r="M5" s="3">
        <v>0</v>
      </c>
      <c r="N5" s="14" t="s">
        <v>557</v>
      </c>
      <c r="O5" s="3">
        <v>0</v>
      </c>
      <c r="P5" s="14" t="s">
        <v>557</v>
      </c>
    </row>
    <row r="6" spans="1:16">
      <c r="A6" t="s">
        <v>171</v>
      </c>
      <c r="B6" s="2">
        <v>93</v>
      </c>
      <c r="C6" s="3">
        <v>3.225806451612903</v>
      </c>
      <c r="D6" s="14" t="s">
        <v>824</v>
      </c>
      <c r="E6" s="3">
        <v>3.2</v>
      </c>
      <c r="F6" s="14" t="s">
        <v>824</v>
      </c>
      <c r="G6" s="3">
        <v>0</v>
      </c>
      <c r="H6" t="s">
        <v>822</v>
      </c>
      <c r="I6" s="3">
        <v>0</v>
      </c>
      <c r="J6" t="s">
        <v>822</v>
      </c>
      <c r="K6" s="3">
        <v>0</v>
      </c>
      <c r="L6" s="14" t="s">
        <v>540</v>
      </c>
      <c r="M6" s="3">
        <v>0</v>
      </c>
      <c r="N6" s="14" t="s">
        <v>540</v>
      </c>
      <c r="O6" s="3">
        <v>0</v>
      </c>
      <c r="P6" s="14" t="s">
        <v>540</v>
      </c>
    </row>
    <row r="7" spans="1:16">
      <c r="A7" t="s">
        <v>135</v>
      </c>
      <c r="B7" s="2">
        <v>155</v>
      </c>
      <c r="C7" s="3">
        <v>0</v>
      </c>
      <c r="D7" s="14" t="s">
        <v>181</v>
      </c>
      <c r="E7" s="3">
        <v>0</v>
      </c>
      <c r="F7" s="14" t="s">
        <v>181</v>
      </c>
      <c r="G7" s="3">
        <v>0</v>
      </c>
      <c r="H7" t="s">
        <v>825</v>
      </c>
      <c r="I7" s="3">
        <v>0</v>
      </c>
      <c r="J7" t="s">
        <v>825</v>
      </c>
      <c r="K7" s="3">
        <v>0</v>
      </c>
      <c r="L7" s="14" t="s">
        <v>181</v>
      </c>
      <c r="M7" s="3">
        <v>0</v>
      </c>
      <c r="N7" s="14" t="s">
        <v>181</v>
      </c>
      <c r="O7" s="3">
        <v>0</v>
      </c>
      <c r="P7" s="14" t="s">
        <v>181</v>
      </c>
    </row>
    <row r="8" spans="1:16">
      <c r="A8" t="s">
        <v>184</v>
      </c>
      <c r="B8" s="2">
        <v>299</v>
      </c>
      <c r="C8" s="3">
        <v>9.6989966555183944</v>
      </c>
      <c r="D8" s="14" t="s">
        <v>826</v>
      </c>
      <c r="E8" s="3">
        <v>8.6999999999999993</v>
      </c>
      <c r="F8" s="14" t="s">
        <v>827</v>
      </c>
      <c r="G8" s="3"/>
      <c r="I8" s="3"/>
      <c r="K8" s="3">
        <v>1.0033444816053512</v>
      </c>
      <c r="L8" s="14" t="s">
        <v>828</v>
      </c>
      <c r="M8" s="3">
        <v>0</v>
      </c>
      <c r="N8" s="14" t="s">
        <v>268</v>
      </c>
      <c r="O8" s="3">
        <v>0</v>
      </c>
      <c r="P8" s="14" t="s">
        <v>268</v>
      </c>
    </row>
    <row r="9" spans="1:16">
      <c r="A9" t="s">
        <v>136</v>
      </c>
      <c r="B9" s="2">
        <v>312</v>
      </c>
      <c r="C9" s="3">
        <v>2.8846153846153846</v>
      </c>
      <c r="D9" s="14" t="s">
        <v>829</v>
      </c>
      <c r="E9" s="3">
        <v>2.8846153846153846</v>
      </c>
      <c r="F9" s="14" t="s">
        <v>829</v>
      </c>
      <c r="G9" s="3">
        <v>0.64102564102564097</v>
      </c>
      <c r="H9" t="s">
        <v>830</v>
      </c>
      <c r="I9" s="3">
        <v>0</v>
      </c>
      <c r="J9" t="s">
        <v>831</v>
      </c>
      <c r="K9" s="3">
        <v>0</v>
      </c>
      <c r="L9" s="14" t="s">
        <v>268</v>
      </c>
      <c r="M9" s="3">
        <v>0</v>
      </c>
      <c r="N9" s="14" t="s">
        <v>268</v>
      </c>
      <c r="O9" s="3">
        <v>0</v>
      </c>
      <c r="P9" s="14" t="s">
        <v>268</v>
      </c>
    </row>
    <row r="10" spans="1:16">
      <c r="A10" t="s">
        <v>137</v>
      </c>
      <c r="B10" s="2">
        <v>150</v>
      </c>
      <c r="C10" s="3">
        <v>3.3333333333333335</v>
      </c>
      <c r="D10" s="14" t="s">
        <v>649</v>
      </c>
      <c r="E10" s="3">
        <v>2.7</v>
      </c>
      <c r="F10" s="14" t="s">
        <v>166</v>
      </c>
      <c r="G10" s="3">
        <v>0.66666666666666674</v>
      </c>
      <c r="H10" t="s">
        <v>832</v>
      </c>
      <c r="I10" s="3">
        <v>0</v>
      </c>
      <c r="J10" t="s">
        <v>825</v>
      </c>
      <c r="K10" s="3">
        <v>0</v>
      </c>
      <c r="L10" s="14" t="s">
        <v>181</v>
      </c>
      <c r="M10" s="3">
        <v>0.66666666666666674</v>
      </c>
      <c r="N10" s="14" t="s">
        <v>236</v>
      </c>
      <c r="O10" s="3">
        <v>0</v>
      </c>
      <c r="P10" s="14" t="s">
        <v>181</v>
      </c>
    </row>
    <row r="11" spans="1:16">
      <c r="A11" t="s">
        <v>202</v>
      </c>
      <c r="B11" s="2">
        <v>299</v>
      </c>
      <c r="C11" s="3">
        <v>0.33444816053511706</v>
      </c>
      <c r="D11" s="14" t="s">
        <v>714</v>
      </c>
      <c r="E11" s="3">
        <v>0.33444816053511706</v>
      </c>
      <c r="F11" s="14" t="s">
        <v>714</v>
      </c>
      <c r="G11" s="3"/>
      <c r="I11" s="3"/>
      <c r="K11" s="3">
        <v>0</v>
      </c>
      <c r="L11" s="14" t="s">
        <v>268</v>
      </c>
      <c r="M11" s="3">
        <v>0</v>
      </c>
      <c r="N11" s="14" t="s">
        <v>268</v>
      </c>
      <c r="O11" s="3">
        <v>0</v>
      </c>
      <c r="P11" s="14" t="s">
        <v>268</v>
      </c>
    </row>
    <row r="12" spans="1:16">
      <c r="A12" t="s">
        <v>204</v>
      </c>
      <c r="B12" s="2">
        <v>312</v>
      </c>
      <c r="C12" s="3">
        <v>0.64102564102564097</v>
      </c>
      <c r="D12" s="14" t="s">
        <v>833</v>
      </c>
      <c r="E12" s="3">
        <v>0</v>
      </c>
      <c r="F12" s="14" t="s">
        <v>268</v>
      </c>
      <c r="G12" s="3">
        <v>0</v>
      </c>
      <c r="H12" t="s">
        <v>831</v>
      </c>
      <c r="I12" s="3">
        <v>0</v>
      </c>
      <c r="J12" t="s">
        <v>831</v>
      </c>
      <c r="K12" s="3">
        <v>0.64102564102564097</v>
      </c>
      <c r="L12" s="14" t="s">
        <v>833</v>
      </c>
      <c r="M12" s="3">
        <v>0</v>
      </c>
      <c r="N12" s="14" t="s">
        <v>268</v>
      </c>
      <c r="O12" s="3">
        <v>0</v>
      </c>
      <c r="P12" s="14" t="s">
        <v>268</v>
      </c>
    </row>
    <row r="13" spans="1:16">
      <c r="A13" t="s">
        <v>128</v>
      </c>
      <c r="B13" s="2">
        <v>363</v>
      </c>
      <c r="C13" s="3">
        <v>1.3774104683195594</v>
      </c>
      <c r="D13" s="14" t="s">
        <v>834</v>
      </c>
      <c r="E13" s="3">
        <v>1.3774104683195594</v>
      </c>
      <c r="F13" s="14" t="s">
        <v>834</v>
      </c>
      <c r="G13" s="3"/>
      <c r="I13" s="3"/>
      <c r="K13" s="3">
        <v>0</v>
      </c>
      <c r="L13" s="14" t="s">
        <v>423</v>
      </c>
      <c r="M13" s="3">
        <v>0</v>
      </c>
      <c r="N13" s="14" t="s">
        <v>423</v>
      </c>
      <c r="O13" s="3">
        <v>0</v>
      </c>
      <c r="P13" s="14" t="s">
        <v>423</v>
      </c>
    </row>
    <row r="14" spans="1:16">
      <c r="A14" t="s">
        <v>138</v>
      </c>
      <c r="B14" s="2">
        <v>69</v>
      </c>
      <c r="C14" s="3">
        <v>1.4492753623188406</v>
      </c>
      <c r="D14" s="14" t="s">
        <v>835</v>
      </c>
      <c r="E14" s="3">
        <v>1.4492753623188406</v>
      </c>
      <c r="F14" s="14" t="s">
        <v>835</v>
      </c>
      <c r="G14" s="3">
        <v>0</v>
      </c>
      <c r="H14" t="s">
        <v>836</v>
      </c>
      <c r="I14" s="3">
        <v>0</v>
      </c>
      <c r="J14" t="s">
        <v>836</v>
      </c>
      <c r="K14" s="3">
        <v>0</v>
      </c>
      <c r="L14" s="14" t="s">
        <v>837</v>
      </c>
      <c r="M14" s="3">
        <v>0</v>
      </c>
      <c r="N14" s="14" t="s">
        <v>837</v>
      </c>
      <c r="O14" s="3">
        <v>0</v>
      </c>
      <c r="P14" s="14" t="s">
        <v>837</v>
      </c>
    </row>
    <row r="15" spans="1:16">
      <c r="A15" t="s">
        <v>119</v>
      </c>
      <c r="B15" s="2">
        <v>165</v>
      </c>
      <c r="C15" s="3">
        <v>24.848484848484848</v>
      </c>
      <c r="D15" s="14" t="s">
        <v>838</v>
      </c>
      <c r="E15" s="3">
        <v>24.2</v>
      </c>
      <c r="F15" s="14" t="s">
        <v>839</v>
      </c>
      <c r="G15" s="3">
        <v>8.4848484848484862</v>
      </c>
      <c r="H15" t="s">
        <v>840</v>
      </c>
      <c r="I15" s="3">
        <v>0</v>
      </c>
      <c r="J15" t="s">
        <v>841</v>
      </c>
      <c r="K15" s="3">
        <v>0.60606060606060608</v>
      </c>
      <c r="L15" s="14" t="s">
        <v>471</v>
      </c>
      <c r="M15" s="3">
        <v>0</v>
      </c>
      <c r="N15" s="14" t="s">
        <v>755</v>
      </c>
      <c r="O15" s="3">
        <v>0</v>
      </c>
      <c r="P15" s="14" t="s">
        <v>755</v>
      </c>
    </row>
    <row r="16" spans="1:16">
      <c r="A16" t="s">
        <v>129</v>
      </c>
      <c r="B16" s="2">
        <v>300</v>
      </c>
      <c r="C16" s="3">
        <v>0.66666666666666674</v>
      </c>
      <c r="D16" s="14" t="s">
        <v>218</v>
      </c>
      <c r="E16" s="3">
        <v>0.3</v>
      </c>
      <c r="F16" s="14" t="s">
        <v>375</v>
      </c>
      <c r="G16" s="3">
        <v>0</v>
      </c>
      <c r="H16" t="s">
        <v>831</v>
      </c>
      <c r="I16" s="3">
        <v>0</v>
      </c>
      <c r="J16" t="s">
        <v>831</v>
      </c>
      <c r="K16" s="3">
        <v>0.33333333333333337</v>
      </c>
      <c r="L16" s="14" t="s">
        <v>375</v>
      </c>
      <c r="M16" s="3">
        <v>0</v>
      </c>
      <c r="N16" s="14" t="s">
        <v>268</v>
      </c>
      <c r="O16" s="3">
        <v>0</v>
      </c>
      <c r="P16" s="14" t="s">
        <v>268</v>
      </c>
    </row>
    <row r="17" spans="1:16">
      <c r="A17" t="s">
        <v>120</v>
      </c>
      <c r="B17" s="2">
        <v>301</v>
      </c>
      <c r="C17" s="3">
        <v>9.9667774086378742</v>
      </c>
      <c r="D17" s="14" t="s">
        <v>842</v>
      </c>
      <c r="E17" s="3">
        <v>9.6</v>
      </c>
      <c r="F17" s="14" t="s">
        <v>843</v>
      </c>
      <c r="G17" s="3"/>
      <c r="I17" s="3"/>
      <c r="K17" s="3">
        <v>0.33222591362126247</v>
      </c>
      <c r="L17" s="14" t="s">
        <v>375</v>
      </c>
      <c r="M17" s="3">
        <v>0</v>
      </c>
      <c r="N17" s="14" t="s">
        <v>268</v>
      </c>
      <c r="O17" s="3">
        <v>0</v>
      </c>
      <c r="P17" s="14" t="s">
        <v>268</v>
      </c>
    </row>
    <row r="18" spans="1:16">
      <c r="A18" t="s">
        <v>228</v>
      </c>
      <c r="B18" s="2">
        <v>150</v>
      </c>
      <c r="C18" s="3">
        <v>6.666666666666667</v>
      </c>
      <c r="D18" s="14" t="s">
        <v>490</v>
      </c>
      <c r="E18" s="3">
        <v>6</v>
      </c>
      <c r="F18" s="14" t="s">
        <v>246</v>
      </c>
      <c r="G18" s="3">
        <v>2</v>
      </c>
      <c r="H18" t="s">
        <v>844</v>
      </c>
      <c r="I18" s="3">
        <v>0</v>
      </c>
      <c r="J18" t="s">
        <v>825</v>
      </c>
      <c r="K18" s="3">
        <v>0.66666666666666674</v>
      </c>
      <c r="L18" s="14" t="s">
        <v>236</v>
      </c>
      <c r="M18" s="3">
        <v>0</v>
      </c>
      <c r="N18" s="14" t="s">
        <v>181</v>
      </c>
      <c r="O18" s="3">
        <v>0</v>
      </c>
      <c r="P18" s="14" t="s">
        <v>181</v>
      </c>
    </row>
    <row r="19" spans="1:16">
      <c r="A19" t="s">
        <v>233</v>
      </c>
      <c r="B19" s="2">
        <v>300</v>
      </c>
      <c r="C19" s="3">
        <v>5.3333333333333339</v>
      </c>
      <c r="D19" s="14" t="s">
        <v>845</v>
      </c>
      <c r="E19" s="3">
        <v>5.3333333333333339</v>
      </c>
      <c r="F19" s="14" t="s">
        <v>845</v>
      </c>
      <c r="G19" s="3">
        <v>0.66666666666666674</v>
      </c>
      <c r="H19" t="s">
        <v>846</v>
      </c>
      <c r="I19" s="3">
        <v>0</v>
      </c>
      <c r="J19" t="s">
        <v>831</v>
      </c>
      <c r="K19" s="3">
        <v>0</v>
      </c>
      <c r="L19" s="14" t="s">
        <v>268</v>
      </c>
      <c r="M19" s="3">
        <v>0</v>
      </c>
      <c r="N19" s="14" t="s">
        <v>268</v>
      </c>
      <c r="O19" s="3">
        <v>0</v>
      </c>
      <c r="P19" s="14" t="s">
        <v>268</v>
      </c>
    </row>
    <row r="20" spans="1:16">
      <c r="A20" t="s">
        <v>116</v>
      </c>
      <c r="B20" s="2">
        <v>96</v>
      </c>
      <c r="C20" s="3">
        <v>4.1666666666666661</v>
      </c>
      <c r="D20" s="14" t="s">
        <v>847</v>
      </c>
      <c r="E20" s="3">
        <v>2.1</v>
      </c>
      <c r="F20" s="14" t="s">
        <v>848</v>
      </c>
      <c r="G20" s="3">
        <v>0</v>
      </c>
      <c r="H20" t="s">
        <v>849</v>
      </c>
      <c r="I20" s="3">
        <v>0</v>
      </c>
      <c r="J20" t="s">
        <v>849</v>
      </c>
      <c r="K20" s="3">
        <v>2.083333333333333</v>
      </c>
      <c r="L20" s="14" t="s">
        <v>848</v>
      </c>
      <c r="M20" s="3">
        <v>0</v>
      </c>
      <c r="N20" s="14" t="s">
        <v>850</v>
      </c>
      <c r="O20" s="3">
        <v>0</v>
      </c>
      <c r="P20" s="14" t="s">
        <v>850</v>
      </c>
    </row>
    <row r="21" spans="1:16">
      <c r="A21" t="s">
        <v>121</v>
      </c>
      <c r="B21" s="2">
        <v>150</v>
      </c>
      <c r="C21" s="3">
        <v>4</v>
      </c>
      <c r="D21" s="14" t="s">
        <v>851</v>
      </c>
      <c r="E21" s="3">
        <v>4</v>
      </c>
      <c r="F21" s="14" t="s">
        <v>851</v>
      </c>
      <c r="G21" s="3">
        <v>0</v>
      </c>
      <c r="H21" t="s">
        <v>825</v>
      </c>
      <c r="I21" s="3">
        <v>0</v>
      </c>
      <c r="J21" t="s">
        <v>825</v>
      </c>
      <c r="K21" s="3">
        <v>0</v>
      </c>
      <c r="L21" s="14" t="s">
        <v>181</v>
      </c>
      <c r="M21" s="3">
        <v>0</v>
      </c>
      <c r="N21" s="14" t="s">
        <v>181</v>
      </c>
      <c r="O21" s="3">
        <v>0</v>
      </c>
      <c r="P21" s="14" t="s">
        <v>181</v>
      </c>
    </row>
    <row r="22" spans="1:16">
      <c r="A22" t="s">
        <v>122</v>
      </c>
      <c r="B22" s="2">
        <v>284</v>
      </c>
      <c r="C22" s="3">
        <v>0.35211267605633806</v>
      </c>
      <c r="D22" s="14" t="s">
        <v>458</v>
      </c>
      <c r="E22" s="3">
        <v>0.35211267605633806</v>
      </c>
      <c r="F22" s="14" t="s">
        <v>458</v>
      </c>
      <c r="G22" s="3"/>
      <c r="I22" s="3"/>
      <c r="K22" s="3">
        <v>0</v>
      </c>
      <c r="L22" s="14" t="s">
        <v>588</v>
      </c>
      <c r="M22" s="3">
        <v>0</v>
      </c>
      <c r="N22" s="14" t="s">
        <v>588</v>
      </c>
      <c r="O22" s="3">
        <v>0</v>
      </c>
      <c r="P22" s="14" t="s">
        <v>588</v>
      </c>
    </row>
    <row r="23" spans="1:16">
      <c r="A23" t="s">
        <v>123</v>
      </c>
      <c r="B23" s="2">
        <v>309</v>
      </c>
      <c r="C23" s="3">
        <v>4.2071197411003238</v>
      </c>
      <c r="D23" s="14" t="s">
        <v>300</v>
      </c>
      <c r="E23" s="3">
        <v>3.6</v>
      </c>
      <c r="F23" s="14" t="s">
        <v>852</v>
      </c>
      <c r="G23" s="3">
        <v>0.64724919093851141</v>
      </c>
      <c r="H23" t="s">
        <v>830</v>
      </c>
      <c r="I23" s="3">
        <v>0</v>
      </c>
      <c r="J23" t="s">
        <v>831</v>
      </c>
      <c r="K23" s="3">
        <v>0.64724919093851141</v>
      </c>
      <c r="L23" s="14" t="s">
        <v>833</v>
      </c>
      <c r="M23" s="3">
        <v>0</v>
      </c>
      <c r="N23" s="14" t="s">
        <v>268</v>
      </c>
      <c r="O23" s="3">
        <v>0</v>
      </c>
      <c r="P23" s="14" t="s">
        <v>268</v>
      </c>
    </row>
    <row r="24" spans="1:16">
      <c r="A24" t="s">
        <v>139</v>
      </c>
      <c r="B24" s="2">
        <v>277</v>
      </c>
      <c r="C24" s="3">
        <v>11.552346570397113</v>
      </c>
      <c r="D24" s="14" t="s">
        <v>853</v>
      </c>
      <c r="E24" s="3">
        <v>9</v>
      </c>
      <c r="F24" s="14" t="s">
        <v>854</v>
      </c>
      <c r="G24" s="3">
        <v>1.8050541516245486</v>
      </c>
      <c r="H24" t="s">
        <v>855</v>
      </c>
      <c r="I24" s="3">
        <v>0</v>
      </c>
      <c r="J24" t="s">
        <v>856</v>
      </c>
      <c r="K24" s="3">
        <v>1.4440433212996391</v>
      </c>
      <c r="L24" s="14" t="s">
        <v>857</v>
      </c>
      <c r="M24" s="3">
        <v>1.0830324909747293</v>
      </c>
      <c r="N24" s="14" t="s">
        <v>858</v>
      </c>
      <c r="O24" s="3">
        <v>0</v>
      </c>
      <c r="P24" s="14" t="s">
        <v>588</v>
      </c>
    </row>
    <row r="25" spans="1:16">
      <c r="A25" t="s">
        <v>140</v>
      </c>
      <c r="B25" s="2">
        <v>303</v>
      </c>
      <c r="C25" s="3">
        <v>7.9207920792079207</v>
      </c>
      <c r="D25" s="14" t="s">
        <v>859</v>
      </c>
      <c r="E25" s="3">
        <v>7.6</v>
      </c>
      <c r="F25" s="14" t="s">
        <v>860</v>
      </c>
      <c r="G25" s="3">
        <v>0.33003300330033003</v>
      </c>
      <c r="H25" t="s">
        <v>861</v>
      </c>
      <c r="I25" s="3">
        <v>0</v>
      </c>
      <c r="J25" t="s">
        <v>831</v>
      </c>
      <c r="K25" s="3">
        <v>0.33003300330033003</v>
      </c>
      <c r="L25" s="14" t="s">
        <v>375</v>
      </c>
      <c r="M25" s="3">
        <v>0</v>
      </c>
      <c r="N25" s="14" t="s">
        <v>268</v>
      </c>
      <c r="O25" s="3">
        <v>0</v>
      </c>
      <c r="P25" s="14" t="s">
        <v>268</v>
      </c>
    </row>
    <row r="26" spans="1:16">
      <c r="A26" t="s">
        <v>271</v>
      </c>
      <c r="B26" s="2">
        <v>149</v>
      </c>
      <c r="C26" s="3">
        <v>0.67114093959731547</v>
      </c>
      <c r="D26" s="14" t="s">
        <v>236</v>
      </c>
      <c r="E26" s="3">
        <v>0.67114093959731547</v>
      </c>
      <c r="F26" s="14" t="s">
        <v>236</v>
      </c>
      <c r="G26" s="3">
        <v>0</v>
      </c>
      <c r="H26" t="s">
        <v>825</v>
      </c>
      <c r="I26" s="3">
        <v>0</v>
      </c>
      <c r="J26" t="s">
        <v>825</v>
      </c>
      <c r="K26" s="3">
        <v>0</v>
      </c>
      <c r="L26" s="14" t="s">
        <v>198</v>
      </c>
      <c r="M26" s="3">
        <v>0</v>
      </c>
      <c r="N26" s="14" t="s">
        <v>198</v>
      </c>
      <c r="O26" s="3">
        <v>0</v>
      </c>
      <c r="P26" s="14" t="s">
        <v>198</v>
      </c>
    </row>
    <row r="27" spans="1:16">
      <c r="A27" t="s">
        <v>277</v>
      </c>
      <c r="B27" s="2">
        <v>153</v>
      </c>
      <c r="C27" s="3">
        <v>8.4967320261437909</v>
      </c>
      <c r="D27" s="14" t="s">
        <v>862</v>
      </c>
      <c r="E27" s="3">
        <v>3.9</v>
      </c>
      <c r="F27" s="14" t="s">
        <v>863</v>
      </c>
      <c r="G27" s="3">
        <v>1.9607843137254906</v>
      </c>
      <c r="H27" t="s">
        <v>864</v>
      </c>
      <c r="I27" s="3">
        <v>0</v>
      </c>
      <c r="J27" t="s">
        <v>825</v>
      </c>
      <c r="K27" s="3">
        <v>4.5751633986928102</v>
      </c>
      <c r="L27" s="14" t="s">
        <v>865</v>
      </c>
      <c r="M27" s="3">
        <v>0</v>
      </c>
      <c r="N27" s="14" t="s">
        <v>181</v>
      </c>
      <c r="O27" s="3">
        <v>0</v>
      </c>
      <c r="P27" s="14" t="s">
        <v>181</v>
      </c>
    </row>
    <row r="28" spans="1:16">
      <c r="A28" t="s">
        <v>130</v>
      </c>
      <c r="B28" s="2">
        <v>297</v>
      </c>
      <c r="C28" s="3">
        <v>3.7037037037037033</v>
      </c>
      <c r="D28" s="14" t="s">
        <v>866</v>
      </c>
      <c r="E28" s="3">
        <v>3</v>
      </c>
      <c r="F28" s="14" t="s">
        <v>867</v>
      </c>
      <c r="G28" s="3">
        <v>0.33670033670033667</v>
      </c>
      <c r="H28" t="s">
        <v>868</v>
      </c>
      <c r="I28" s="3">
        <v>0</v>
      </c>
      <c r="J28" t="s">
        <v>831</v>
      </c>
      <c r="K28" s="3">
        <v>0</v>
      </c>
      <c r="L28" s="14" t="s">
        <v>268</v>
      </c>
      <c r="M28" s="3">
        <v>0.67340067340067333</v>
      </c>
      <c r="N28" s="14" t="s">
        <v>218</v>
      </c>
      <c r="O28" s="3">
        <v>0</v>
      </c>
      <c r="P28" s="14" t="s">
        <v>268</v>
      </c>
    </row>
    <row r="29" spans="1:16">
      <c r="A29" t="s">
        <v>525</v>
      </c>
      <c r="B29" s="2">
        <v>304</v>
      </c>
      <c r="C29" s="3">
        <v>0</v>
      </c>
      <c r="D29" s="14" t="s">
        <v>268</v>
      </c>
      <c r="E29" s="3">
        <v>0</v>
      </c>
      <c r="F29" s="14" t="s">
        <v>268</v>
      </c>
      <c r="G29" s="3">
        <v>0</v>
      </c>
      <c r="H29" t="s">
        <v>831</v>
      </c>
      <c r="I29" s="3">
        <v>0</v>
      </c>
      <c r="J29" t="s">
        <v>831</v>
      </c>
      <c r="K29" s="3">
        <v>0</v>
      </c>
      <c r="L29" s="14" t="s">
        <v>268</v>
      </c>
      <c r="M29" s="3">
        <v>0</v>
      </c>
      <c r="N29" s="14" t="s">
        <v>268</v>
      </c>
      <c r="O29" s="3">
        <v>0</v>
      </c>
      <c r="P29" s="14" t="s">
        <v>268</v>
      </c>
    </row>
    <row r="30" spans="1:16" ht="14.65" thickBot="1">
      <c r="A30" s="5" t="s">
        <v>677</v>
      </c>
      <c r="B30" s="6">
        <v>98</v>
      </c>
      <c r="C30" s="7">
        <v>2.0408163265306123</v>
      </c>
      <c r="D30" s="55" t="s">
        <v>869</v>
      </c>
      <c r="E30" s="7">
        <v>2.0408163265306123</v>
      </c>
      <c r="F30" s="55" t="s">
        <v>869</v>
      </c>
      <c r="G30" s="7"/>
      <c r="H30" s="5"/>
      <c r="I30" s="7"/>
      <c r="J30" s="5"/>
      <c r="K30" s="7">
        <v>0</v>
      </c>
      <c r="L30" s="55" t="s">
        <v>236</v>
      </c>
      <c r="M30" s="7">
        <v>0</v>
      </c>
      <c r="N30" s="55" t="s">
        <v>236</v>
      </c>
      <c r="O30" s="7">
        <v>0</v>
      </c>
      <c r="P30" s="55" t="s">
        <v>236</v>
      </c>
    </row>
    <row r="31" spans="1:16" ht="14.65" thickBot="1">
      <c r="A31" s="54" t="s">
        <v>870</v>
      </c>
      <c r="B31" s="8">
        <v>6460</v>
      </c>
      <c r="C31" s="9">
        <v>4.4263306410153884</v>
      </c>
      <c r="D31" s="56" t="s">
        <v>871</v>
      </c>
      <c r="E31" s="9">
        <v>3.9</v>
      </c>
      <c r="F31" s="56" t="s">
        <v>872</v>
      </c>
      <c r="G31" s="9">
        <v>0.85030458671763021</v>
      </c>
      <c r="H31" s="5" t="s">
        <v>873</v>
      </c>
      <c r="I31" s="9">
        <v>0</v>
      </c>
      <c r="J31" s="5" t="s">
        <v>874</v>
      </c>
      <c r="K31" s="9">
        <v>0.47542069847943058</v>
      </c>
      <c r="L31" s="56" t="s">
        <v>815</v>
      </c>
      <c r="M31" s="9">
        <v>9.8362903133675281E-2</v>
      </c>
      <c r="N31" s="56" t="s">
        <v>875</v>
      </c>
      <c r="O31" s="9">
        <v>0</v>
      </c>
      <c r="P31" s="56" t="s">
        <v>317</v>
      </c>
    </row>
    <row r="32" spans="1:16">
      <c r="A32" t="s">
        <v>145</v>
      </c>
      <c r="B32" s="2">
        <v>286</v>
      </c>
      <c r="C32" s="3">
        <v>0</v>
      </c>
      <c r="D32" s="14" t="s">
        <v>588</v>
      </c>
      <c r="E32" s="3">
        <v>0</v>
      </c>
      <c r="F32" s="14" t="s">
        <v>588</v>
      </c>
      <c r="G32" s="3">
        <v>0</v>
      </c>
      <c r="H32" t="s">
        <v>856</v>
      </c>
      <c r="I32" s="3">
        <v>0</v>
      </c>
      <c r="J32" t="s">
        <v>856</v>
      </c>
      <c r="K32" s="3">
        <v>0</v>
      </c>
      <c r="L32" s="14" t="s">
        <v>588</v>
      </c>
      <c r="M32" s="3">
        <v>0</v>
      </c>
      <c r="N32" s="14" t="s">
        <v>588</v>
      </c>
      <c r="O32" s="3">
        <v>0</v>
      </c>
      <c r="P32" s="14" t="s">
        <v>588</v>
      </c>
    </row>
    <row r="33" spans="1:16" ht="14.65" thickBot="1">
      <c r="A33" s="5" t="s">
        <v>142</v>
      </c>
      <c r="B33" s="6">
        <v>366</v>
      </c>
      <c r="C33" s="7">
        <v>0.54644808743169404</v>
      </c>
      <c r="D33" s="55" t="s">
        <v>876</v>
      </c>
      <c r="E33" s="7">
        <v>0.54644808743169404</v>
      </c>
      <c r="F33" s="55" t="s">
        <v>876</v>
      </c>
      <c r="G33" s="7">
        <v>0</v>
      </c>
      <c r="H33" s="5" t="s">
        <v>877</v>
      </c>
      <c r="I33" s="7">
        <v>0</v>
      </c>
      <c r="J33" s="5" t="s">
        <v>877</v>
      </c>
      <c r="K33" s="7">
        <v>0</v>
      </c>
      <c r="L33" s="55" t="s">
        <v>423</v>
      </c>
      <c r="M33" s="7">
        <v>0</v>
      </c>
      <c r="N33" s="55" t="s">
        <v>423</v>
      </c>
      <c r="O33" s="7">
        <v>0</v>
      </c>
      <c r="P33" s="55" t="s">
        <v>423</v>
      </c>
    </row>
    <row r="34" spans="1:16" ht="14.65" thickBot="1">
      <c r="A34" s="4" t="s">
        <v>454</v>
      </c>
      <c r="B34" s="8">
        <v>652</v>
      </c>
      <c r="C34" s="9">
        <v>0.3</v>
      </c>
      <c r="D34" s="21" t="s">
        <v>483</v>
      </c>
      <c r="E34" s="9">
        <v>0.3</v>
      </c>
      <c r="F34" s="21" t="s">
        <v>483</v>
      </c>
      <c r="G34" s="9">
        <v>0</v>
      </c>
      <c r="H34" s="21" t="s">
        <v>310</v>
      </c>
      <c r="I34" s="9">
        <v>0</v>
      </c>
      <c r="J34" s="21" t="s">
        <v>310</v>
      </c>
      <c r="K34" s="9">
        <v>0</v>
      </c>
      <c r="L34" s="21" t="s">
        <v>310</v>
      </c>
      <c r="M34" s="9">
        <v>0</v>
      </c>
      <c r="N34" s="21" t="s">
        <v>310</v>
      </c>
      <c r="O34" s="9">
        <v>0</v>
      </c>
      <c r="P34" s="21" t="s">
        <v>310</v>
      </c>
    </row>
    <row r="35" spans="1:16" ht="14.65" thickBot="1">
      <c r="A35" s="4" t="s">
        <v>311</v>
      </c>
      <c r="B35" s="8">
        <v>7112</v>
      </c>
      <c r="C35" s="9">
        <v>4</v>
      </c>
      <c r="D35" s="21" t="s">
        <v>878</v>
      </c>
      <c r="E35" s="9">
        <v>3.5</v>
      </c>
      <c r="F35" s="21" t="s">
        <v>879</v>
      </c>
      <c r="G35" s="9">
        <v>0.7</v>
      </c>
      <c r="H35" s="21" t="s">
        <v>880</v>
      </c>
      <c r="I35" s="9">
        <v>0</v>
      </c>
      <c r="J35" s="21" t="s">
        <v>317</v>
      </c>
      <c r="K35" s="9">
        <v>0.4</v>
      </c>
      <c r="L35" s="21" t="s">
        <v>881</v>
      </c>
      <c r="M35" s="9">
        <v>0.1</v>
      </c>
      <c r="N35" s="21" t="s">
        <v>875</v>
      </c>
      <c r="O35" s="9">
        <v>0</v>
      </c>
      <c r="P35" s="21" t="s">
        <v>317</v>
      </c>
    </row>
    <row r="37" spans="1:16">
      <c r="A37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15"/>
  <dimension ref="A1:P33"/>
  <sheetViews>
    <sheetView workbookViewId="0">
      <selection activeCell="I33" sqref="I33"/>
    </sheetView>
  </sheetViews>
  <sheetFormatPr defaultColWidth="10.7109375" defaultRowHeight="14.25"/>
  <cols>
    <col min="1" max="1" width="32.5703125" bestFit="1" customWidth="1"/>
    <col min="8" max="8" width="14.42578125" customWidth="1"/>
    <col min="10" max="10" width="13.570312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619</v>
      </c>
      <c r="B3" s="2">
        <v>8</v>
      </c>
      <c r="C3" s="2">
        <v>8</v>
      </c>
      <c r="D3" s="3">
        <f>(C3/B3)*100</f>
        <v>100</v>
      </c>
      <c r="E3" s="2">
        <v>8</v>
      </c>
      <c r="F3" s="3">
        <f>(E3/B3)*100</f>
        <v>100</v>
      </c>
      <c r="K3" s="2">
        <v>0</v>
      </c>
      <c r="L3" s="3">
        <f>(K3/B3)*100</f>
        <v>0</v>
      </c>
      <c r="M3" s="2">
        <v>0</v>
      </c>
      <c r="N3" s="3">
        <f>(M3/B3)*100</f>
        <v>0</v>
      </c>
      <c r="O3" s="2">
        <v>0</v>
      </c>
      <c r="P3" s="3">
        <f>(O3/B3)*100</f>
        <v>0</v>
      </c>
    </row>
    <row r="4" spans="1:16">
      <c r="A4" t="s">
        <v>621</v>
      </c>
      <c r="B4" s="2">
        <v>6</v>
      </c>
      <c r="C4" s="2">
        <v>6</v>
      </c>
      <c r="D4" s="3">
        <f t="shared" ref="D4:D31" si="0">(C4/B4)*100</f>
        <v>100</v>
      </c>
      <c r="E4" s="2">
        <v>2</v>
      </c>
      <c r="F4" s="3">
        <f t="shared" ref="F4:F31" si="1">(E4/B4)*100</f>
        <v>33.333333333333329</v>
      </c>
      <c r="K4" s="2">
        <v>4</v>
      </c>
      <c r="L4" s="3">
        <f t="shared" ref="L4:L31" si="2">(K4/B4)*100</f>
        <v>66.666666666666657</v>
      </c>
      <c r="M4" s="2">
        <v>0</v>
      </c>
      <c r="N4" s="3">
        <f t="shared" ref="N4:N31" si="3">(M4/B4)*100</f>
        <v>0</v>
      </c>
      <c r="O4" s="2">
        <v>0</v>
      </c>
      <c r="P4" s="3">
        <f t="shared" ref="P4:P31" si="4">(O4/B4)*100</f>
        <v>0</v>
      </c>
    </row>
    <row r="5" spans="1:16">
      <c r="A5" t="s">
        <v>163</v>
      </c>
      <c r="B5" s="2">
        <v>7</v>
      </c>
      <c r="C5" s="2">
        <v>7</v>
      </c>
      <c r="D5" s="3">
        <f t="shared" si="0"/>
        <v>100</v>
      </c>
      <c r="E5" s="2">
        <v>7</v>
      </c>
      <c r="F5" s="3">
        <f t="shared" si="1"/>
        <v>100</v>
      </c>
      <c r="G5">
        <v>1</v>
      </c>
      <c r="H5" s="3">
        <f>(G5/B5)*100</f>
        <v>14.285714285714285</v>
      </c>
      <c r="I5">
        <v>0</v>
      </c>
      <c r="J5" s="3">
        <f>(I5/B5)*100</f>
        <v>0</v>
      </c>
      <c r="K5" s="2">
        <v>0</v>
      </c>
      <c r="L5" s="3">
        <f t="shared" si="2"/>
        <v>0</v>
      </c>
      <c r="M5" s="2">
        <v>0</v>
      </c>
      <c r="N5" s="3">
        <f t="shared" si="3"/>
        <v>0</v>
      </c>
      <c r="O5" s="2">
        <v>0</v>
      </c>
      <c r="P5" s="3">
        <f t="shared" si="4"/>
        <v>0</v>
      </c>
    </row>
    <row r="6" spans="1:16">
      <c r="A6" t="s">
        <v>171</v>
      </c>
      <c r="B6" s="2">
        <v>4</v>
      </c>
      <c r="C6" s="2">
        <v>3</v>
      </c>
      <c r="D6" s="3">
        <f t="shared" si="0"/>
        <v>75</v>
      </c>
      <c r="E6" s="2">
        <v>3</v>
      </c>
      <c r="F6" s="3">
        <f t="shared" si="1"/>
        <v>75</v>
      </c>
      <c r="G6">
        <v>0</v>
      </c>
      <c r="H6" s="3">
        <f t="shared" ref="H6:H31" si="5">(G6/B6)*100</f>
        <v>0</v>
      </c>
      <c r="I6">
        <v>0</v>
      </c>
      <c r="J6" s="3">
        <f t="shared" ref="J6:J31" si="6">(I6/B6)*100</f>
        <v>0</v>
      </c>
      <c r="K6" s="2">
        <v>0</v>
      </c>
      <c r="L6" s="3">
        <f t="shared" si="2"/>
        <v>0</v>
      </c>
      <c r="M6" s="2">
        <v>0</v>
      </c>
      <c r="N6" s="3">
        <f t="shared" si="3"/>
        <v>0</v>
      </c>
      <c r="O6" s="2">
        <v>0</v>
      </c>
      <c r="P6" s="3">
        <f t="shared" si="4"/>
        <v>0</v>
      </c>
    </row>
    <row r="7" spans="1:16">
      <c r="A7" t="s">
        <v>184</v>
      </c>
      <c r="B7" s="2">
        <v>29</v>
      </c>
      <c r="C7" s="2">
        <v>29</v>
      </c>
      <c r="D7" s="3">
        <f t="shared" si="0"/>
        <v>100</v>
      </c>
      <c r="E7" s="2">
        <v>26</v>
      </c>
      <c r="F7" s="3">
        <f t="shared" si="1"/>
        <v>89.65517241379311</v>
      </c>
      <c r="H7" s="3"/>
      <c r="J7" s="3"/>
      <c r="K7" s="2">
        <v>3</v>
      </c>
      <c r="L7" s="3">
        <f t="shared" si="2"/>
        <v>10.344827586206897</v>
      </c>
      <c r="M7" s="2">
        <v>0</v>
      </c>
      <c r="N7" s="3">
        <f t="shared" si="3"/>
        <v>0</v>
      </c>
      <c r="O7" s="2">
        <v>0</v>
      </c>
      <c r="P7" s="3">
        <f t="shared" si="4"/>
        <v>0</v>
      </c>
    </row>
    <row r="8" spans="1:16">
      <c r="A8" t="s">
        <v>136</v>
      </c>
      <c r="B8" s="2">
        <v>9</v>
      </c>
      <c r="C8" s="2">
        <v>9</v>
      </c>
      <c r="D8" s="3">
        <f t="shared" si="0"/>
        <v>100</v>
      </c>
      <c r="E8" s="2">
        <v>9</v>
      </c>
      <c r="F8" s="3">
        <f t="shared" si="1"/>
        <v>100</v>
      </c>
      <c r="G8">
        <v>2</v>
      </c>
      <c r="H8" s="3">
        <f t="shared" si="5"/>
        <v>22.222222222222221</v>
      </c>
      <c r="I8">
        <v>0</v>
      </c>
      <c r="J8" s="3">
        <f t="shared" si="6"/>
        <v>0</v>
      </c>
      <c r="K8" s="2">
        <v>0</v>
      </c>
      <c r="L8" s="3">
        <f t="shared" si="2"/>
        <v>0</v>
      </c>
      <c r="M8" s="2">
        <v>0</v>
      </c>
      <c r="N8" s="3">
        <f t="shared" si="3"/>
        <v>0</v>
      </c>
      <c r="O8" s="2">
        <v>0</v>
      </c>
      <c r="P8" s="3">
        <f t="shared" si="4"/>
        <v>0</v>
      </c>
    </row>
    <row r="9" spans="1:16">
      <c r="A9" t="s">
        <v>137</v>
      </c>
      <c r="B9" s="2">
        <v>5</v>
      </c>
      <c r="C9" s="2">
        <v>5</v>
      </c>
      <c r="D9" s="3">
        <f t="shared" si="0"/>
        <v>100</v>
      </c>
      <c r="E9" s="2">
        <v>4</v>
      </c>
      <c r="F9" s="3">
        <f t="shared" si="1"/>
        <v>80</v>
      </c>
      <c r="G9">
        <v>1</v>
      </c>
      <c r="H9" s="3">
        <f t="shared" si="5"/>
        <v>20</v>
      </c>
      <c r="I9">
        <v>0</v>
      </c>
      <c r="J9" s="3">
        <f t="shared" si="6"/>
        <v>0</v>
      </c>
      <c r="K9" s="2">
        <v>0</v>
      </c>
      <c r="L9" s="3">
        <f t="shared" si="2"/>
        <v>0</v>
      </c>
      <c r="M9" s="2">
        <v>1</v>
      </c>
      <c r="N9" s="3">
        <f t="shared" si="3"/>
        <v>20</v>
      </c>
      <c r="O9" s="2">
        <v>0</v>
      </c>
      <c r="P9" s="3">
        <f t="shared" si="4"/>
        <v>0</v>
      </c>
    </row>
    <row r="10" spans="1:16">
      <c r="A10" t="s">
        <v>202</v>
      </c>
      <c r="B10" s="2">
        <v>1</v>
      </c>
      <c r="C10" s="2">
        <v>1</v>
      </c>
      <c r="D10" s="3">
        <f t="shared" si="0"/>
        <v>100</v>
      </c>
      <c r="E10" s="2">
        <v>1</v>
      </c>
      <c r="F10" s="3">
        <f t="shared" si="1"/>
        <v>100</v>
      </c>
      <c r="H10" s="3"/>
      <c r="J10" s="3"/>
      <c r="K10" s="2">
        <v>0</v>
      </c>
      <c r="L10" s="3">
        <f t="shared" si="2"/>
        <v>0</v>
      </c>
      <c r="M10" s="2">
        <v>0</v>
      </c>
      <c r="N10" s="3">
        <f t="shared" si="3"/>
        <v>0</v>
      </c>
      <c r="O10" s="2">
        <v>0</v>
      </c>
      <c r="P10" s="3">
        <f t="shared" si="4"/>
        <v>0</v>
      </c>
    </row>
    <row r="11" spans="1:16">
      <c r="A11" t="s">
        <v>204</v>
      </c>
      <c r="B11" s="2">
        <v>2</v>
      </c>
      <c r="C11" s="2">
        <v>2</v>
      </c>
      <c r="D11" s="3">
        <f t="shared" si="0"/>
        <v>100</v>
      </c>
      <c r="E11" s="2">
        <v>0</v>
      </c>
      <c r="F11" s="3">
        <f t="shared" si="1"/>
        <v>0</v>
      </c>
      <c r="G11">
        <v>0</v>
      </c>
      <c r="H11" s="3">
        <f t="shared" si="5"/>
        <v>0</v>
      </c>
      <c r="I11">
        <v>0</v>
      </c>
      <c r="J11" s="3">
        <f t="shared" si="6"/>
        <v>0</v>
      </c>
      <c r="K11" s="2">
        <v>2</v>
      </c>
      <c r="L11" s="3">
        <f t="shared" si="2"/>
        <v>100</v>
      </c>
      <c r="M11" s="2">
        <v>0</v>
      </c>
      <c r="N11" s="3">
        <f t="shared" si="3"/>
        <v>0</v>
      </c>
      <c r="O11" s="2">
        <v>0</v>
      </c>
      <c r="P11" s="3">
        <f t="shared" si="4"/>
        <v>0</v>
      </c>
    </row>
    <row r="12" spans="1:16">
      <c r="A12" t="s">
        <v>128</v>
      </c>
      <c r="B12" s="2">
        <v>2</v>
      </c>
      <c r="C12" s="2">
        <v>2</v>
      </c>
      <c r="D12" s="3">
        <f t="shared" si="0"/>
        <v>100</v>
      </c>
      <c r="E12" s="2">
        <v>2</v>
      </c>
      <c r="F12" s="3">
        <f t="shared" si="1"/>
        <v>100</v>
      </c>
      <c r="H12" s="3"/>
      <c r="J12" s="3"/>
      <c r="K12" s="2">
        <v>0</v>
      </c>
      <c r="L12" s="3">
        <f t="shared" si="2"/>
        <v>0</v>
      </c>
      <c r="M12" s="2">
        <v>0</v>
      </c>
      <c r="N12" s="3">
        <f t="shared" si="3"/>
        <v>0</v>
      </c>
      <c r="O12" s="2">
        <v>0</v>
      </c>
      <c r="P12" s="3">
        <f t="shared" si="4"/>
        <v>0</v>
      </c>
    </row>
    <row r="13" spans="1:16">
      <c r="A13" t="s">
        <v>138</v>
      </c>
      <c r="B13" s="2">
        <v>1</v>
      </c>
      <c r="C13" s="2">
        <v>1</v>
      </c>
      <c r="D13" s="3">
        <f t="shared" si="0"/>
        <v>100</v>
      </c>
      <c r="E13" s="2">
        <v>1</v>
      </c>
      <c r="F13" s="3">
        <f t="shared" si="1"/>
        <v>100</v>
      </c>
      <c r="G13">
        <v>0</v>
      </c>
      <c r="H13" s="3">
        <f t="shared" si="5"/>
        <v>0</v>
      </c>
      <c r="I13">
        <v>0</v>
      </c>
      <c r="J13" s="3">
        <f t="shared" si="6"/>
        <v>0</v>
      </c>
      <c r="K13" s="2">
        <v>0</v>
      </c>
      <c r="L13" s="3">
        <f t="shared" si="2"/>
        <v>0</v>
      </c>
      <c r="M13" s="2">
        <v>0</v>
      </c>
      <c r="N13" s="3">
        <f t="shared" si="3"/>
        <v>0</v>
      </c>
      <c r="O13" s="2">
        <v>0</v>
      </c>
      <c r="P13" s="3">
        <f t="shared" si="4"/>
        <v>0</v>
      </c>
    </row>
    <row r="14" spans="1:16">
      <c r="A14" t="s">
        <v>119</v>
      </c>
      <c r="B14" s="2">
        <v>41</v>
      </c>
      <c r="C14" s="2">
        <v>41</v>
      </c>
      <c r="D14" s="3">
        <f t="shared" si="0"/>
        <v>100</v>
      </c>
      <c r="E14" s="2">
        <v>40</v>
      </c>
      <c r="F14" s="3">
        <f t="shared" si="1"/>
        <v>97.560975609756099</v>
      </c>
      <c r="G14">
        <v>14</v>
      </c>
      <c r="H14" s="3">
        <f t="shared" si="5"/>
        <v>34.146341463414636</v>
      </c>
      <c r="I14">
        <v>0</v>
      </c>
      <c r="J14" s="3">
        <f t="shared" si="6"/>
        <v>0</v>
      </c>
      <c r="K14" s="2">
        <v>1</v>
      </c>
      <c r="L14" s="3">
        <f t="shared" si="2"/>
        <v>2.4390243902439024</v>
      </c>
      <c r="M14" s="2">
        <v>0</v>
      </c>
      <c r="N14" s="3">
        <f t="shared" si="3"/>
        <v>0</v>
      </c>
      <c r="O14" s="2">
        <v>0</v>
      </c>
      <c r="P14" s="3">
        <f t="shared" si="4"/>
        <v>0</v>
      </c>
    </row>
    <row r="15" spans="1:16">
      <c r="A15" t="s">
        <v>129</v>
      </c>
      <c r="B15" s="2">
        <v>2</v>
      </c>
      <c r="C15" s="2">
        <v>2</v>
      </c>
      <c r="D15" s="3">
        <f t="shared" si="0"/>
        <v>100</v>
      </c>
      <c r="E15" s="2">
        <v>1</v>
      </c>
      <c r="F15" s="3">
        <f t="shared" si="1"/>
        <v>50</v>
      </c>
      <c r="G15">
        <v>0</v>
      </c>
      <c r="H15" s="3">
        <f t="shared" si="5"/>
        <v>0</v>
      </c>
      <c r="I15">
        <v>0</v>
      </c>
      <c r="J15" s="3">
        <f t="shared" si="6"/>
        <v>0</v>
      </c>
      <c r="K15" s="2">
        <v>1</v>
      </c>
      <c r="L15" s="3">
        <f t="shared" si="2"/>
        <v>50</v>
      </c>
      <c r="M15" s="2">
        <v>0</v>
      </c>
      <c r="N15" s="3">
        <f t="shared" si="3"/>
        <v>0</v>
      </c>
      <c r="O15" s="2">
        <v>0</v>
      </c>
      <c r="P15" s="3">
        <f t="shared" si="4"/>
        <v>0</v>
      </c>
    </row>
    <row r="16" spans="1:16">
      <c r="A16" t="s">
        <v>120</v>
      </c>
      <c r="B16" s="2">
        <v>30</v>
      </c>
      <c r="C16" s="2">
        <v>30</v>
      </c>
      <c r="D16" s="3">
        <f t="shared" si="0"/>
        <v>100</v>
      </c>
      <c r="E16" s="2">
        <v>29</v>
      </c>
      <c r="F16" s="3">
        <f t="shared" si="1"/>
        <v>96.666666666666671</v>
      </c>
      <c r="H16" s="3"/>
      <c r="J16" s="3"/>
      <c r="K16" s="2">
        <v>1</v>
      </c>
      <c r="L16" s="3">
        <f t="shared" si="2"/>
        <v>3.3333333333333335</v>
      </c>
      <c r="M16" s="2">
        <v>0</v>
      </c>
      <c r="N16" s="3">
        <f t="shared" si="3"/>
        <v>0</v>
      </c>
      <c r="O16" s="2">
        <v>0</v>
      </c>
      <c r="P16" s="3">
        <f t="shared" si="4"/>
        <v>0</v>
      </c>
    </row>
    <row r="17" spans="1:16">
      <c r="A17" t="s">
        <v>228</v>
      </c>
      <c r="B17" s="2">
        <v>10</v>
      </c>
      <c r="C17" s="2">
        <v>10</v>
      </c>
      <c r="D17" s="3">
        <f t="shared" si="0"/>
        <v>100</v>
      </c>
      <c r="E17" s="2">
        <v>9</v>
      </c>
      <c r="F17" s="3">
        <f t="shared" si="1"/>
        <v>90</v>
      </c>
      <c r="G17">
        <v>3</v>
      </c>
      <c r="H17" s="3">
        <f t="shared" si="5"/>
        <v>30</v>
      </c>
      <c r="I17">
        <v>0</v>
      </c>
      <c r="J17" s="3">
        <f t="shared" si="6"/>
        <v>0</v>
      </c>
      <c r="K17" s="2">
        <v>1</v>
      </c>
      <c r="L17" s="3">
        <f t="shared" si="2"/>
        <v>10</v>
      </c>
      <c r="M17" s="2">
        <v>0</v>
      </c>
      <c r="N17" s="3">
        <f t="shared" si="3"/>
        <v>0</v>
      </c>
      <c r="O17" s="2">
        <v>0</v>
      </c>
      <c r="P17" s="3">
        <f t="shared" si="4"/>
        <v>0</v>
      </c>
    </row>
    <row r="18" spans="1:16">
      <c r="A18" t="s">
        <v>233</v>
      </c>
      <c r="B18" s="2">
        <v>8</v>
      </c>
      <c r="C18" s="2">
        <v>8</v>
      </c>
      <c r="D18" s="3">
        <f t="shared" si="0"/>
        <v>100</v>
      </c>
      <c r="E18" s="2">
        <v>8</v>
      </c>
      <c r="F18" s="3">
        <f t="shared" si="1"/>
        <v>100</v>
      </c>
      <c r="G18">
        <v>1</v>
      </c>
      <c r="H18" s="3">
        <f t="shared" si="5"/>
        <v>12.5</v>
      </c>
      <c r="I18">
        <v>0</v>
      </c>
      <c r="J18" s="3">
        <f t="shared" si="6"/>
        <v>0</v>
      </c>
      <c r="K18" s="2">
        <v>0</v>
      </c>
      <c r="L18" s="3">
        <f t="shared" si="2"/>
        <v>0</v>
      </c>
      <c r="M18" s="2">
        <v>0</v>
      </c>
      <c r="N18" s="3">
        <f t="shared" si="3"/>
        <v>0</v>
      </c>
      <c r="O18" s="2">
        <v>0</v>
      </c>
      <c r="P18" s="3">
        <f t="shared" si="4"/>
        <v>0</v>
      </c>
    </row>
    <row r="19" spans="1:16">
      <c r="A19" t="s">
        <v>116</v>
      </c>
      <c r="B19" s="2">
        <v>4</v>
      </c>
      <c r="C19" s="2">
        <v>4</v>
      </c>
      <c r="D19" s="3">
        <f t="shared" si="0"/>
        <v>100</v>
      </c>
      <c r="E19" s="2">
        <v>2</v>
      </c>
      <c r="F19" s="3">
        <f t="shared" si="1"/>
        <v>50</v>
      </c>
      <c r="G19">
        <v>0</v>
      </c>
      <c r="H19" s="3">
        <f t="shared" si="5"/>
        <v>0</v>
      </c>
      <c r="I19">
        <v>0</v>
      </c>
      <c r="J19" s="3">
        <f t="shared" si="6"/>
        <v>0</v>
      </c>
      <c r="K19" s="2">
        <v>2</v>
      </c>
      <c r="L19" s="3">
        <f t="shared" si="2"/>
        <v>50</v>
      </c>
      <c r="M19" s="2">
        <v>0</v>
      </c>
      <c r="N19" s="3">
        <f t="shared" si="3"/>
        <v>0</v>
      </c>
      <c r="O19" s="2">
        <v>0</v>
      </c>
      <c r="P19" s="3">
        <f t="shared" si="4"/>
        <v>0</v>
      </c>
    </row>
    <row r="20" spans="1:16">
      <c r="A20" t="s">
        <v>121</v>
      </c>
      <c r="B20" s="2">
        <v>5</v>
      </c>
      <c r="C20" s="2">
        <v>5</v>
      </c>
      <c r="D20" s="3">
        <f t="shared" si="0"/>
        <v>100</v>
      </c>
      <c r="E20" s="2">
        <v>5</v>
      </c>
      <c r="F20" s="3">
        <f t="shared" si="1"/>
        <v>100</v>
      </c>
      <c r="G20">
        <v>0</v>
      </c>
      <c r="H20" s="3">
        <f t="shared" si="5"/>
        <v>0</v>
      </c>
      <c r="I20">
        <v>0</v>
      </c>
      <c r="J20" s="3">
        <f t="shared" si="6"/>
        <v>0</v>
      </c>
      <c r="K20" s="2">
        <v>0</v>
      </c>
      <c r="L20" s="3">
        <f t="shared" si="2"/>
        <v>0</v>
      </c>
      <c r="M20" s="2">
        <v>0</v>
      </c>
      <c r="N20" s="3">
        <f t="shared" si="3"/>
        <v>0</v>
      </c>
      <c r="O20" s="2">
        <v>0</v>
      </c>
      <c r="P20" s="3">
        <f t="shared" si="4"/>
        <v>0</v>
      </c>
    </row>
    <row r="21" spans="1:16">
      <c r="A21" t="s">
        <v>122</v>
      </c>
      <c r="B21" s="2">
        <v>1</v>
      </c>
      <c r="C21" s="2">
        <v>1</v>
      </c>
      <c r="D21" s="3">
        <f t="shared" si="0"/>
        <v>100</v>
      </c>
      <c r="E21" s="2">
        <v>1</v>
      </c>
      <c r="F21" s="3">
        <f t="shared" si="1"/>
        <v>100</v>
      </c>
      <c r="H21" s="3"/>
      <c r="J21" s="3"/>
      <c r="K21" s="2">
        <v>0</v>
      </c>
      <c r="L21" s="3">
        <f t="shared" si="2"/>
        <v>0</v>
      </c>
      <c r="M21" s="2">
        <v>0</v>
      </c>
      <c r="N21" s="3">
        <f t="shared" si="3"/>
        <v>0</v>
      </c>
      <c r="O21" s="2">
        <v>0</v>
      </c>
      <c r="P21" s="3">
        <f t="shared" si="4"/>
        <v>0</v>
      </c>
    </row>
    <row r="22" spans="1:16">
      <c r="A22" t="s">
        <v>123</v>
      </c>
      <c r="B22" s="2">
        <v>13</v>
      </c>
      <c r="C22" s="2">
        <v>13</v>
      </c>
      <c r="D22" s="3">
        <f t="shared" si="0"/>
        <v>100</v>
      </c>
      <c r="E22" s="2">
        <v>11</v>
      </c>
      <c r="F22" s="3">
        <f t="shared" si="1"/>
        <v>84.615384615384613</v>
      </c>
      <c r="G22">
        <v>2</v>
      </c>
      <c r="H22" s="3">
        <f t="shared" si="5"/>
        <v>15.384615384615385</v>
      </c>
      <c r="I22">
        <v>0</v>
      </c>
      <c r="J22" s="3">
        <f t="shared" si="6"/>
        <v>0</v>
      </c>
      <c r="K22" s="2">
        <v>2</v>
      </c>
      <c r="L22" s="3">
        <f t="shared" si="2"/>
        <v>15.384615384615385</v>
      </c>
      <c r="M22" s="2">
        <v>0</v>
      </c>
      <c r="N22" s="3">
        <f t="shared" si="3"/>
        <v>0</v>
      </c>
      <c r="O22" s="2">
        <v>0</v>
      </c>
      <c r="P22" s="3">
        <f t="shared" si="4"/>
        <v>0</v>
      </c>
    </row>
    <row r="23" spans="1:16">
      <c r="A23" t="s">
        <v>139</v>
      </c>
      <c r="B23" s="2">
        <v>32</v>
      </c>
      <c r="C23" s="2">
        <v>32</v>
      </c>
      <c r="D23" s="3">
        <f t="shared" si="0"/>
        <v>100</v>
      </c>
      <c r="E23" s="2">
        <v>25</v>
      </c>
      <c r="F23" s="3">
        <f t="shared" si="1"/>
        <v>78.125</v>
      </c>
      <c r="G23">
        <v>5</v>
      </c>
      <c r="H23" s="3">
        <f t="shared" si="5"/>
        <v>15.625</v>
      </c>
      <c r="I23">
        <v>0</v>
      </c>
      <c r="J23" s="3">
        <f t="shared" si="6"/>
        <v>0</v>
      </c>
      <c r="K23" s="2">
        <v>4</v>
      </c>
      <c r="L23" s="3">
        <f t="shared" si="2"/>
        <v>12.5</v>
      </c>
      <c r="M23" s="2">
        <v>3</v>
      </c>
      <c r="N23" s="3">
        <f t="shared" si="3"/>
        <v>9.375</v>
      </c>
      <c r="O23" s="2">
        <v>0</v>
      </c>
      <c r="P23" s="3">
        <f t="shared" si="4"/>
        <v>0</v>
      </c>
    </row>
    <row r="24" spans="1:16">
      <c r="A24" t="s">
        <v>140</v>
      </c>
      <c r="B24" s="2">
        <v>24</v>
      </c>
      <c r="C24" s="2">
        <v>24</v>
      </c>
      <c r="D24" s="3">
        <f t="shared" si="0"/>
        <v>100</v>
      </c>
      <c r="E24" s="2">
        <v>23</v>
      </c>
      <c r="F24" s="3">
        <f t="shared" si="1"/>
        <v>95.833333333333343</v>
      </c>
      <c r="G24">
        <v>1</v>
      </c>
      <c r="H24" s="3">
        <f t="shared" si="5"/>
        <v>4.1666666666666661</v>
      </c>
      <c r="I24">
        <v>0</v>
      </c>
      <c r="J24" s="3">
        <f t="shared" si="6"/>
        <v>0</v>
      </c>
      <c r="K24" s="2">
        <v>1</v>
      </c>
      <c r="L24" s="3">
        <f t="shared" si="2"/>
        <v>4.1666666666666661</v>
      </c>
      <c r="M24" s="2">
        <v>0</v>
      </c>
      <c r="N24" s="3">
        <f t="shared" si="3"/>
        <v>0</v>
      </c>
      <c r="O24" s="2">
        <v>0</v>
      </c>
      <c r="P24" s="3">
        <f t="shared" si="4"/>
        <v>0</v>
      </c>
    </row>
    <row r="25" spans="1:16">
      <c r="A25" t="s">
        <v>271</v>
      </c>
      <c r="B25" s="2">
        <v>1</v>
      </c>
      <c r="C25" s="2">
        <v>1</v>
      </c>
      <c r="D25" s="3">
        <f t="shared" si="0"/>
        <v>100</v>
      </c>
      <c r="E25" s="2">
        <v>1</v>
      </c>
      <c r="F25" s="3">
        <f t="shared" si="1"/>
        <v>100</v>
      </c>
      <c r="G25">
        <v>0</v>
      </c>
      <c r="H25" s="3">
        <f t="shared" si="5"/>
        <v>0</v>
      </c>
      <c r="I25">
        <v>0</v>
      </c>
      <c r="J25" s="3">
        <f t="shared" si="6"/>
        <v>0</v>
      </c>
      <c r="K25" s="2">
        <v>0</v>
      </c>
      <c r="L25" s="3">
        <f t="shared" si="2"/>
        <v>0</v>
      </c>
      <c r="M25" s="2">
        <v>0</v>
      </c>
      <c r="N25" s="3">
        <f t="shared" si="3"/>
        <v>0</v>
      </c>
      <c r="O25" s="2">
        <v>0</v>
      </c>
      <c r="P25" s="3">
        <f t="shared" si="4"/>
        <v>0</v>
      </c>
    </row>
    <row r="26" spans="1:16">
      <c r="A26" t="s">
        <v>277</v>
      </c>
      <c r="B26" s="2">
        <v>13</v>
      </c>
      <c r="C26" s="2">
        <v>13</v>
      </c>
      <c r="D26" s="3">
        <f t="shared" si="0"/>
        <v>100</v>
      </c>
      <c r="E26" s="2">
        <v>6</v>
      </c>
      <c r="F26" s="3">
        <f t="shared" si="1"/>
        <v>46.153846153846153</v>
      </c>
      <c r="G26">
        <v>3</v>
      </c>
      <c r="H26" s="3">
        <f t="shared" si="5"/>
        <v>23.076923076923077</v>
      </c>
      <c r="I26">
        <v>0</v>
      </c>
      <c r="J26" s="3">
        <f t="shared" si="6"/>
        <v>0</v>
      </c>
      <c r="K26" s="2">
        <v>7</v>
      </c>
      <c r="L26" s="3">
        <f t="shared" si="2"/>
        <v>53.846153846153847</v>
      </c>
      <c r="M26" s="2">
        <v>0</v>
      </c>
      <c r="N26" s="3">
        <f t="shared" si="3"/>
        <v>0</v>
      </c>
      <c r="O26" s="2">
        <v>0</v>
      </c>
      <c r="P26" s="3">
        <f t="shared" si="4"/>
        <v>0</v>
      </c>
    </row>
    <row r="27" spans="1:16">
      <c r="A27" t="s">
        <v>130</v>
      </c>
      <c r="B27" s="2">
        <v>11</v>
      </c>
      <c r="C27" s="2">
        <v>11</v>
      </c>
      <c r="D27" s="3">
        <f t="shared" si="0"/>
        <v>100</v>
      </c>
      <c r="E27" s="2">
        <v>9</v>
      </c>
      <c r="F27" s="3">
        <f t="shared" si="1"/>
        <v>81.818181818181827</v>
      </c>
      <c r="G27">
        <v>1</v>
      </c>
      <c r="H27" s="3">
        <f t="shared" si="5"/>
        <v>9.0909090909090917</v>
      </c>
      <c r="I27">
        <v>0</v>
      </c>
      <c r="J27" s="3">
        <f t="shared" si="6"/>
        <v>0</v>
      </c>
      <c r="K27" s="2">
        <v>0</v>
      </c>
      <c r="L27" s="3">
        <f t="shared" si="2"/>
        <v>0</v>
      </c>
      <c r="M27" s="2">
        <v>2</v>
      </c>
      <c r="N27" s="3">
        <f t="shared" si="3"/>
        <v>18.181818181818183</v>
      </c>
      <c r="O27" s="2">
        <v>0</v>
      </c>
      <c r="P27" s="3">
        <f t="shared" si="4"/>
        <v>0</v>
      </c>
    </row>
    <row r="28" spans="1:16" ht="14.65" thickBot="1">
      <c r="A28" s="5" t="s">
        <v>677</v>
      </c>
      <c r="B28" s="6">
        <v>2</v>
      </c>
      <c r="C28" s="6">
        <v>2</v>
      </c>
      <c r="D28" s="7">
        <f t="shared" si="0"/>
        <v>100</v>
      </c>
      <c r="E28" s="6">
        <v>2</v>
      </c>
      <c r="F28" s="7">
        <f t="shared" si="1"/>
        <v>100</v>
      </c>
      <c r="G28" s="5"/>
      <c r="H28" s="7"/>
      <c r="I28" s="5"/>
      <c r="J28" s="7"/>
      <c r="K28" s="6">
        <v>0</v>
      </c>
      <c r="L28" s="7">
        <f t="shared" si="2"/>
        <v>0</v>
      </c>
      <c r="M28" s="6">
        <v>0</v>
      </c>
      <c r="N28" s="7">
        <f t="shared" si="3"/>
        <v>0</v>
      </c>
      <c r="O28" s="6">
        <v>0</v>
      </c>
      <c r="P28" s="7">
        <f t="shared" si="4"/>
        <v>0</v>
      </c>
    </row>
    <row r="29" spans="1:16" ht="14.65" thickBot="1">
      <c r="A29" s="4" t="s">
        <v>882</v>
      </c>
      <c r="B29" s="8">
        <f>SUM(B3:B28)</f>
        <v>271</v>
      </c>
      <c r="C29" s="8">
        <f>SUM(C3:C28)</f>
        <v>270</v>
      </c>
      <c r="D29" s="9">
        <f t="shared" si="0"/>
        <v>99.630996309963109</v>
      </c>
      <c r="E29" s="8">
        <f>SUM(E3:E28)</f>
        <v>235</v>
      </c>
      <c r="F29" s="9">
        <f t="shared" si="1"/>
        <v>86.715867158671585</v>
      </c>
      <c r="G29" s="4">
        <f>SUM(G3:G28)</f>
        <v>34</v>
      </c>
      <c r="H29" s="9">
        <f t="shared" si="5"/>
        <v>12.546125461254611</v>
      </c>
      <c r="I29" s="4">
        <f>SUM(I3:I28)</f>
        <v>0</v>
      </c>
      <c r="J29" s="9">
        <f t="shared" si="6"/>
        <v>0</v>
      </c>
      <c r="K29" s="8">
        <f>SUM(K3:K28)</f>
        <v>29</v>
      </c>
      <c r="L29" s="9">
        <f t="shared" si="2"/>
        <v>10.701107011070111</v>
      </c>
      <c r="M29" s="8">
        <f>SUM(M3:M28)</f>
        <v>6</v>
      </c>
      <c r="N29" s="9">
        <f t="shared" si="3"/>
        <v>2.214022140221402</v>
      </c>
      <c r="O29" s="8">
        <f>SUM(O3:O28)</f>
        <v>0</v>
      </c>
      <c r="P29" s="9">
        <f t="shared" si="4"/>
        <v>0</v>
      </c>
    </row>
    <row r="30" spans="1:16">
      <c r="A30" s="10" t="s">
        <v>142</v>
      </c>
      <c r="B30" s="11">
        <v>2</v>
      </c>
      <c r="C30" s="11">
        <v>2</v>
      </c>
      <c r="D30" s="12">
        <f t="shared" si="0"/>
        <v>100</v>
      </c>
      <c r="E30" s="11">
        <v>2</v>
      </c>
      <c r="F30" s="12">
        <f t="shared" si="1"/>
        <v>100</v>
      </c>
      <c r="G30" s="10">
        <v>0</v>
      </c>
      <c r="H30" s="12">
        <f t="shared" si="5"/>
        <v>0</v>
      </c>
      <c r="I30" s="10">
        <v>0</v>
      </c>
      <c r="J30" s="12">
        <f t="shared" si="6"/>
        <v>0</v>
      </c>
      <c r="K30" s="11">
        <v>0</v>
      </c>
      <c r="L30" s="12">
        <f t="shared" si="2"/>
        <v>0</v>
      </c>
      <c r="M30" s="11">
        <v>0</v>
      </c>
      <c r="N30" s="12">
        <f t="shared" si="3"/>
        <v>0</v>
      </c>
      <c r="O30" s="11">
        <v>0</v>
      </c>
      <c r="P30" s="12">
        <f t="shared" si="4"/>
        <v>0</v>
      </c>
    </row>
    <row r="31" spans="1:16" ht="14.65" thickBot="1">
      <c r="A31" s="4" t="s">
        <v>311</v>
      </c>
      <c r="B31" s="8">
        <v>273</v>
      </c>
      <c r="C31" s="8">
        <v>272</v>
      </c>
      <c r="D31" s="9">
        <f t="shared" si="0"/>
        <v>99.633699633699635</v>
      </c>
      <c r="E31" s="8">
        <v>237</v>
      </c>
      <c r="F31" s="9">
        <f t="shared" si="1"/>
        <v>86.813186813186817</v>
      </c>
      <c r="G31" s="4">
        <v>34</v>
      </c>
      <c r="H31" s="9">
        <f t="shared" si="5"/>
        <v>12.454212454212454</v>
      </c>
      <c r="I31" s="4">
        <v>0</v>
      </c>
      <c r="J31" s="9">
        <f t="shared" si="6"/>
        <v>0</v>
      </c>
      <c r="K31" s="8">
        <v>29</v>
      </c>
      <c r="L31" s="9">
        <f t="shared" si="2"/>
        <v>10.622710622710622</v>
      </c>
      <c r="M31" s="8">
        <v>6</v>
      </c>
      <c r="N31" s="9">
        <f t="shared" si="3"/>
        <v>2.197802197802198</v>
      </c>
      <c r="O31" s="8">
        <v>0</v>
      </c>
      <c r="P31" s="9">
        <f t="shared" si="4"/>
        <v>0</v>
      </c>
    </row>
    <row r="33" spans="1:1">
      <c r="A33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16"/>
  <dimension ref="A1:P19"/>
  <sheetViews>
    <sheetView workbookViewId="0">
      <selection activeCell="B15" sqref="B15:P15"/>
    </sheetView>
  </sheetViews>
  <sheetFormatPr defaultColWidth="10.7109375" defaultRowHeight="14.25"/>
  <cols>
    <col min="1" max="1" width="23" customWidth="1"/>
    <col min="8" max="8" width="12.85546875" customWidth="1"/>
    <col min="10" max="10" width="11.85546875" customWidth="1"/>
  </cols>
  <sheetData>
    <row r="1" spans="1:16" ht="16.149999999999999" thickBot="1">
      <c r="A1" s="66" t="s">
        <v>104</v>
      </c>
      <c r="B1" s="66" t="s">
        <v>146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147</v>
      </c>
      <c r="D2" s="4" t="s">
        <v>148</v>
      </c>
      <c r="E2" s="4" t="s">
        <v>147</v>
      </c>
      <c r="F2" s="4" t="s">
        <v>148</v>
      </c>
      <c r="G2" s="4" t="s">
        <v>147</v>
      </c>
      <c r="H2" s="4" t="s">
        <v>148</v>
      </c>
      <c r="I2" s="4" t="s">
        <v>147</v>
      </c>
      <c r="J2" s="4" t="s">
        <v>148</v>
      </c>
      <c r="K2" s="4" t="s">
        <v>147</v>
      </c>
      <c r="L2" s="4" t="s">
        <v>148</v>
      </c>
      <c r="M2" s="4" t="s">
        <v>147</v>
      </c>
      <c r="N2" s="4" t="s">
        <v>148</v>
      </c>
      <c r="O2" s="4" t="s">
        <v>147</v>
      </c>
      <c r="P2" s="4" t="s">
        <v>148</v>
      </c>
    </row>
    <row r="3" spans="1:16">
      <c r="A3" t="s">
        <v>619</v>
      </c>
      <c r="B3" s="2">
        <v>276</v>
      </c>
      <c r="C3" s="3">
        <v>27.898550724637683</v>
      </c>
      <c r="D3" t="s">
        <v>883</v>
      </c>
      <c r="E3" s="3">
        <v>23.913043478260871</v>
      </c>
      <c r="F3" t="s">
        <v>884</v>
      </c>
      <c r="K3" s="3">
        <v>3.985507246376812</v>
      </c>
      <c r="L3" t="s">
        <v>885</v>
      </c>
      <c r="M3" s="3">
        <v>0</v>
      </c>
      <c r="N3" t="s">
        <v>348</v>
      </c>
      <c r="O3" s="3">
        <v>0</v>
      </c>
      <c r="P3" t="s">
        <v>588</v>
      </c>
    </row>
    <row r="4" spans="1:16">
      <c r="A4" t="s">
        <v>621</v>
      </c>
      <c r="B4" s="2">
        <v>312</v>
      </c>
      <c r="C4" s="3">
        <v>65.326633165829136</v>
      </c>
      <c r="D4" t="s">
        <v>886</v>
      </c>
      <c r="E4" s="3">
        <v>60.301507537688437</v>
      </c>
      <c r="F4" t="s">
        <v>887</v>
      </c>
      <c r="K4" s="3">
        <v>5.0251256281407031</v>
      </c>
      <c r="L4" t="s">
        <v>888</v>
      </c>
      <c r="M4" s="3">
        <v>0</v>
      </c>
      <c r="N4" t="s">
        <v>162</v>
      </c>
      <c r="O4" s="3">
        <v>0</v>
      </c>
      <c r="P4" t="s">
        <v>162</v>
      </c>
    </row>
    <row r="5" spans="1:16">
      <c r="A5" t="s">
        <v>171</v>
      </c>
      <c r="B5" s="2">
        <v>297</v>
      </c>
      <c r="C5" s="3">
        <v>28.28282828282828</v>
      </c>
      <c r="D5" t="s">
        <v>889</v>
      </c>
      <c r="E5" s="3">
        <v>24.915824915824913</v>
      </c>
      <c r="F5" t="s">
        <v>890</v>
      </c>
      <c r="G5" s="3">
        <v>1.6835016835016834</v>
      </c>
      <c r="H5" t="s">
        <v>891</v>
      </c>
      <c r="I5" s="3">
        <v>0</v>
      </c>
      <c r="J5" t="s">
        <v>268</v>
      </c>
      <c r="K5" s="3">
        <v>3.0303030303030298</v>
      </c>
      <c r="L5" t="s">
        <v>496</v>
      </c>
      <c r="M5" s="3">
        <v>0.33670033670033667</v>
      </c>
      <c r="N5" t="s">
        <v>188</v>
      </c>
      <c r="O5" s="3">
        <v>0</v>
      </c>
      <c r="P5" t="s">
        <v>162</v>
      </c>
    </row>
    <row r="6" spans="1:16">
      <c r="A6" t="s">
        <v>136</v>
      </c>
      <c r="B6" s="2">
        <v>309</v>
      </c>
      <c r="C6" s="3">
        <v>4.2071197411003238</v>
      </c>
      <c r="D6" t="s">
        <v>892</v>
      </c>
      <c r="E6" s="3">
        <v>0.64724919093851141</v>
      </c>
      <c r="F6" t="s">
        <v>428</v>
      </c>
      <c r="G6" s="3">
        <v>0</v>
      </c>
      <c r="H6" t="s">
        <v>268</v>
      </c>
      <c r="I6" s="3">
        <v>0</v>
      </c>
      <c r="J6" t="s">
        <v>268</v>
      </c>
      <c r="K6" s="3">
        <v>3.5598705501618122</v>
      </c>
      <c r="L6" t="s">
        <v>893</v>
      </c>
      <c r="M6" s="3">
        <v>0</v>
      </c>
      <c r="N6" t="s">
        <v>162</v>
      </c>
      <c r="O6" s="3">
        <v>0</v>
      </c>
      <c r="P6" t="s">
        <v>162</v>
      </c>
    </row>
    <row r="7" spans="1:16">
      <c r="A7" t="s">
        <v>204</v>
      </c>
      <c r="B7" s="2">
        <v>280</v>
      </c>
      <c r="C7" s="3">
        <v>14.642857142857141</v>
      </c>
      <c r="D7" t="s">
        <v>894</v>
      </c>
      <c r="E7" s="3">
        <v>8.2142857142857135</v>
      </c>
      <c r="F7" t="s">
        <v>895</v>
      </c>
      <c r="G7" s="3">
        <v>1.0714285714285712</v>
      </c>
      <c r="H7" t="s">
        <v>858</v>
      </c>
      <c r="I7" s="3">
        <v>0</v>
      </c>
      <c r="J7" t="s">
        <v>588</v>
      </c>
      <c r="K7" s="3">
        <v>6.4285714285714297</v>
      </c>
      <c r="L7" t="s">
        <v>896</v>
      </c>
      <c r="M7" s="3">
        <v>0</v>
      </c>
      <c r="N7" t="s">
        <v>348</v>
      </c>
      <c r="O7" s="3">
        <v>0</v>
      </c>
      <c r="P7" t="s">
        <v>348</v>
      </c>
    </row>
    <row r="8" spans="1:16">
      <c r="A8" t="s">
        <v>128</v>
      </c>
      <c r="B8" s="2">
        <v>342</v>
      </c>
      <c r="C8" s="3">
        <v>65.494453622846365</v>
      </c>
      <c r="D8" t="s">
        <v>897</v>
      </c>
      <c r="E8" s="3">
        <v>64.609393438753841</v>
      </c>
      <c r="F8" t="s">
        <v>898</v>
      </c>
      <c r="G8" s="3"/>
      <c r="I8" s="3"/>
      <c r="K8" s="3">
        <v>0.8850601840925183</v>
      </c>
      <c r="L8" t="s">
        <v>899</v>
      </c>
      <c r="M8" s="3">
        <v>0</v>
      </c>
      <c r="N8" t="s">
        <v>156</v>
      </c>
      <c r="O8" s="3">
        <v>0.2950200613641728</v>
      </c>
      <c r="P8" t="s">
        <v>900</v>
      </c>
    </row>
    <row r="9" spans="1:16">
      <c r="A9" t="s">
        <v>120</v>
      </c>
      <c r="B9" s="2">
        <v>301</v>
      </c>
      <c r="C9" s="3">
        <v>88.704318936877087</v>
      </c>
      <c r="D9" t="s">
        <v>901</v>
      </c>
      <c r="E9" s="3">
        <v>84.71760797342192</v>
      </c>
      <c r="F9" t="s">
        <v>902</v>
      </c>
      <c r="G9" s="3"/>
      <c r="I9" s="3"/>
      <c r="K9" s="3">
        <v>3.9867109634551494</v>
      </c>
      <c r="L9" t="s">
        <v>645</v>
      </c>
      <c r="M9" s="3">
        <v>0</v>
      </c>
      <c r="N9" t="s">
        <v>162</v>
      </c>
      <c r="O9" s="3">
        <v>0.33222591362126241</v>
      </c>
      <c r="P9" t="s">
        <v>303</v>
      </c>
    </row>
    <row r="10" spans="1:16">
      <c r="A10" t="s">
        <v>122</v>
      </c>
      <c r="B10" s="2">
        <v>307</v>
      </c>
      <c r="C10" s="3">
        <v>31.921824104234524</v>
      </c>
      <c r="D10" t="s">
        <v>903</v>
      </c>
      <c r="E10" s="3">
        <v>29.967426710097715</v>
      </c>
      <c r="F10" t="s">
        <v>904</v>
      </c>
      <c r="G10" s="3"/>
      <c r="I10" s="3"/>
      <c r="K10" s="3">
        <v>1.9543973941368076</v>
      </c>
      <c r="L10" t="s">
        <v>302</v>
      </c>
      <c r="M10" s="3">
        <v>0</v>
      </c>
      <c r="N10" t="s">
        <v>162</v>
      </c>
      <c r="O10" s="3">
        <v>0</v>
      </c>
      <c r="P10" t="s">
        <v>162</v>
      </c>
    </row>
    <row r="11" spans="1:16">
      <c r="A11" t="s">
        <v>139</v>
      </c>
      <c r="B11" s="2">
        <v>325</v>
      </c>
      <c r="C11" s="3">
        <v>54.146731880835915</v>
      </c>
      <c r="D11" t="s">
        <v>905</v>
      </c>
      <c r="E11" s="3">
        <v>48.480213428190304</v>
      </c>
      <c r="F11" t="s">
        <v>906</v>
      </c>
      <c r="G11" s="3">
        <v>6.2961316140506884</v>
      </c>
      <c r="H11" t="s">
        <v>907</v>
      </c>
      <c r="I11" s="3">
        <v>0</v>
      </c>
      <c r="J11" t="s">
        <v>483</v>
      </c>
      <c r="K11" s="3">
        <v>3.1480658070253442</v>
      </c>
      <c r="L11" t="s">
        <v>908</v>
      </c>
      <c r="M11" s="3">
        <v>2.5184526456202754</v>
      </c>
      <c r="N11" t="s">
        <v>909</v>
      </c>
      <c r="O11" s="3">
        <v>0.31480658070253442</v>
      </c>
      <c r="P11" t="s">
        <v>210</v>
      </c>
    </row>
    <row r="12" spans="1:16">
      <c r="A12" t="s">
        <v>140</v>
      </c>
      <c r="B12" s="2">
        <v>284</v>
      </c>
      <c r="C12" s="3">
        <v>23.943661971830984</v>
      </c>
      <c r="D12" t="s">
        <v>910</v>
      </c>
      <c r="E12" s="3">
        <v>21.12676056338028</v>
      </c>
      <c r="F12" t="s">
        <v>911</v>
      </c>
      <c r="G12" s="3">
        <v>3.873239436619718</v>
      </c>
      <c r="H12" t="s">
        <v>912</v>
      </c>
      <c r="I12" s="3">
        <v>0.70422535211267601</v>
      </c>
      <c r="J12" t="s">
        <v>913</v>
      </c>
      <c r="K12" s="3">
        <v>1.408450704225352</v>
      </c>
      <c r="L12" t="s">
        <v>686</v>
      </c>
      <c r="M12" s="3">
        <v>1.408450704225352</v>
      </c>
      <c r="N12" t="s">
        <v>686</v>
      </c>
      <c r="O12" s="3">
        <v>0</v>
      </c>
      <c r="P12" t="s">
        <v>348</v>
      </c>
    </row>
    <row r="13" spans="1:16">
      <c r="A13" t="s">
        <v>130</v>
      </c>
      <c r="B13" s="2">
        <v>394</v>
      </c>
      <c r="C13" s="3">
        <v>43.908629441624363</v>
      </c>
      <c r="D13" t="s">
        <v>914</v>
      </c>
      <c r="E13" s="3">
        <v>34.517766497461935</v>
      </c>
      <c r="F13" t="s">
        <v>915</v>
      </c>
      <c r="G13" s="3">
        <v>19.289340101522843</v>
      </c>
      <c r="H13" t="s">
        <v>916</v>
      </c>
      <c r="I13" s="3">
        <v>0.25380710659898476</v>
      </c>
      <c r="J13" t="s">
        <v>362</v>
      </c>
      <c r="K13" s="3">
        <v>6.345177664974619</v>
      </c>
      <c r="L13" t="s">
        <v>917</v>
      </c>
      <c r="M13" s="3">
        <v>3.0456852791878166</v>
      </c>
      <c r="N13" t="s">
        <v>918</v>
      </c>
      <c r="O13" s="3">
        <v>0</v>
      </c>
      <c r="P13" t="s">
        <v>259</v>
      </c>
    </row>
    <row r="14" spans="1:16" ht="14.65" thickBot="1">
      <c r="A14" s="5" t="s">
        <v>525</v>
      </c>
      <c r="B14" s="6">
        <v>14</v>
      </c>
      <c r="C14" s="7">
        <v>0</v>
      </c>
      <c r="D14" s="7" t="s">
        <v>919</v>
      </c>
      <c r="E14" s="7">
        <v>0</v>
      </c>
      <c r="F14" s="7" t="s">
        <v>919</v>
      </c>
      <c r="G14" s="7">
        <v>0</v>
      </c>
      <c r="H14" s="7" t="s">
        <v>920</v>
      </c>
      <c r="I14" s="7">
        <v>0</v>
      </c>
      <c r="J14" s="7" t="s">
        <v>920</v>
      </c>
      <c r="K14" s="7">
        <v>0</v>
      </c>
      <c r="L14" s="7" t="s">
        <v>919</v>
      </c>
      <c r="M14" s="7">
        <v>0</v>
      </c>
      <c r="N14" s="7" t="s">
        <v>919</v>
      </c>
      <c r="O14" s="7">
        <v>0</v>
      </c>
      <c r="P14" s="7" t="s">
        <v>919</v>
      </c>
    </row>
    <row r="15" spans="1:16" ht="14.65" thickBot="1">
      <c r="A15" s="13" t="s">
        <v>141</v>
      </c>
      <c r="B15" s="8">
        <f>SUM(B3:B14)</f>
        <v>3441</v>
      </c>
      <c r="C15" s="9">
        <v>41.406885334779076</v>
      </c>
      <c r="D15" s="9" t="s">
        <v>297</v>
      </c>
      <c r="E15" s="9">
        <v>37.031264118550645</v>
      </c>
      <c r="F15" s="9" t="s">
        <v>921</v>
      </c>
      <c r="G15" s="9">
        <v>6.0865653247239306</v>
      </c>
      <c r="H15" s="9" t="s">
        <v>922</v>
      </c>
      <c r="I15" s="9">
        <v>0.1587799649927982</v>
      </c>
      <c r="J15" s="9" t="s">
        <v>352</v>
      </c>
      <c r="K15" s="9">
        <v>3.6414565826330536</v>
      </c>
      <c r="L15" s="9" t="s">
        <v>923</v>
      </c>
      <c r="M15" s="9">
        <v>0.73416463359537365</v>
      </c>
      <c r="N15" s="9" t="s">
        <v>924</v>
      </c>
      <c r="O15" s="9">
        <v>8.8099756031444834E-2</v>
      </c>
      <c r="P15" s="9" t="s">
        <v>925</v>
      </c>
    </row>
    <row r="16" spans="1:16" ht="14.65" thickBot="1">
      <c r="A16" s="35" t="s">
        <v>142</v>
      </c>
      <c r="B16" s="36">
        <v>306</v>
      </c>
      <c r="C16" s="34">
        <v>31.699346405228756</v>
      </c>
      <c r="D16" s="34" t="s">
        <v>926</v>
      </c>
      <c r="E16" s="34">
        <v>16.013071895424837</v>
      </c>
      <c r="F16" s="34" t="s">
        <v>927</v>
      </c>
      <c r="G16" s="34">
        <v>1.9607843137254901</v>
      </c>
      <c r="H16" s="34" t="s">
        <v>928</v>
      </c>
      <c r="I16" s="34">
        <v>0</v>
      </c>
      <c r="J16" s="34" t="s">
        <v>268</v>
      </c>
      <c r="K16" s="34">
        <v>13.725490196078431</v>
      </c>
      <c r="L16" s="34" t="s">
        <v>929</v>
      </c>
      <c r="M16" s="34">
        <v>1.9607843137254901</v>
      </c>
      <c r="N16" s="34" t="s">
        <v>302</v>
      </c>
      <c r="O16" s="34">
        <v>0</v>
      </c>
      <c r="P16" s="34" t="s">
        <v>162</v>
      </c>
    </row>
    <row r="17" spans="1:16" ht="14.65" thickBot="1">
      <c r="A17" s="4" t="s">
        <v>311</v>
      </c>
      <c r="B17" s="8">
        <v>3747</v>
      </c>
      <c r="C17" s="4">
        <v>40.6</v>
      </c>
      <c r="D17" s="30" t="s">
        <v>930</v>
      </c>
      <c r="E17" s="4">
        <v>35.299999999999997</v>
      </c>
      <c r="F17" s="30" t="s">
        <v>931</v>
      </c>
      <c r="G17" s="4">
        <v>5.5</v>
      </c>
      <c r="H17" s="30" t="s">
        <v>932</v>
      </c>
      <c r="I17" s="4">
        <v>0.1</v>
      </c>
      <c r="J17" s="30" t="s">
        <v>448</v>
      </c>
      <c r="K17" s="4">
        <v>4.5</v>
      </c>
      <c r="L17" s="30" t="s">
        <v>933</v>
      </c>
      <c r="M17" s="4">
        <v>0.8</v>
      </c>
      <c r="N17" s="30" t="s">
        <v>552</v>
      </c>
      <c r="O17" s="4">
        <v>0.1</v>
      </c>
      <c r="P17" s="30" t="s">
        <v>875</v>
      </c>
    </row>
    <row r="19" spans="1:16">
      <c r="A19" t="s">
        <v>133</v>
      </c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17"/>
  <dimension ref="A1:P20"/>
  <sheetViews>
    <sheetView workbookViewId="0">
      <selection activeCell="G23" sqref="A1:XFD1048576"/>
    </sheetView>
  </sheetViews>
  <sheetFormatPr defaultColWidth="10.7109375" defaultRowHeight="14.25"/>
  <cols>
    <col min="1" max="1" width="23.7109375" customWidth="1"/>
    <col min="8" max="8" width="14" customWidth="1"/>
    <col min="10" max="10" width="12.5703125" customWidth="1"/>
  </cols>
  <sheetData>
    <row r="1" spans="1:16" ht="16.149999999999999" thickBot="1">
      <c r="A1" s="66" t="s">
        <v>104</v>
      </c>
      <c r="B1" s="66" t="s">
        <v>77</v>
      </c>
      <c r="C1" s="64" t="s">
        <v>106</v>
      </c>
      <c r="D1" s="64"/>
      <c r="E1" s="64" t="s">
        <v>107</v>
      </c>
      <c r="F1" s="64"/>
      <c r="G1" s="64" t="s">
        <v>108</v>
      </c>
      <c r="H1" s="64"/>
      <c r="I1" s="64" t="s">
        <v>109</v>
      </c>
      <c r="J1" s="64"/>
      <c r="K1" s="64" t="s">
        <v>110</v>
      </c>
      <c r="L1" s="64"/>
      <c r="M1" s="64" t="s">
        <v>111</v>
      </c>
      <c r="N1" s="64"/>
      <c r="O1" s="64" t="s">
        <v>112</v>
      </c>
      <c r="P1" s="64"/>
    </row>
    <row r="2" spans="1:16" ht="14.65" thickBot="1">
      <c r="A2" s="64"/>
      <c r="B2" s="64"/>
      <c r="C2" s="4" t="s">
        <v>69</v>
      </c>
      <c r="D2" s="4" t="s">
        <v>87</v>
      </c>
      <c r="E2" s="4" t="s">
        <v>69</v>
      </c>
      <c r="F2" s="4" t="s">
        <v>87</v>
      </c>
      <c r="G2" s="4" t="s">
        <v>69</v>
      </c>
      <c r="H2" s="4" t="s">
        <v>87</v>
      </c>
      <c r="I2" s="4" t="s">
        <v>69</v>
      </c>
      <c r="J2" s="4" t="s">
        <v>87</v>
      </c>
      <c r="K2" s="4" t="s">
        <v>69</v>
      </c>
      <c r="L2" s="4" t="s">
        <v>87</v>
      </c>
      <c r="M2" s="4" t="s">
        <v>69</v>
      </c>
      <c r="N2" s="4" t="s">
        <v>87</v>
      </c>
      <c r="O2" s="4" t="s">
        <v>69</v>
      </c>
      <c r="P2" s="4" t="s">
        <v>87</v>
      </c>
    </row>
    <row r="3" spans="1:16">
      <c r="A3" t="s">
        <v>619</v>
      </c>
      <c r="B3" s="2">
        <v>77</v>
      </c>
      <c r="C3" s="2">
        <v>77</v>
      </c>
      <c r="D3" s="3">
        <f>(C3/B3)*100</f>
        <v>100</v>
      </c>
      <c r="E3" s="2">
        <v>66</v>
      </c>
      <c r="F3" s="3">
        <f>(E3/B3)*100</f>
        <v>85.714285714285708</v>
      </c>
      <c r="K3" s="2">
        <v>11</v>
      </c>
      <c r="L3" s="3">
        <f>(K3/B3)*100</f>
        <v>14.285714285714285</v>
      </c>
      <c r="M3" s="2">
        <v>0</v>
      </c>
      <c r="N3" s="3">
        <f>(M3/B3)*100</f>
        <v>0</v>
      </c>
      <c r="O3" s="2">
        <v>0</v>
      </c>
      <c r="P3" s="3">
        <f>(O3/B3)*100</f>
        <v>0</v>
      </c>
    </row>
    <row r="4" spans="1:16">
      <c r="A4" t="s">
        <v>621</v>
      </c>
      <c r="B4" s="2">
        <v>198</v>
      </c>
      <c r="C4" s="2">
        <v>194</v>
      </c>
      <c r="D4" s="3">
        <f t="shared" ref="D4:D16" si="0">(C4/B4)*100</f>
        <v>97.979797979797979</v>
      </c>
      <c r="E4" s="2">
        <v>179</v>
      </c>
      <c r="F4" s="3">
        <f t="shared" ref="F4:F16" si="1">(E4/B4)*100</f>
        <v>90.404040404040416</v>
      </c>
      <c r="K4" s="2">
        <v>15</v>
      </c>
      <c r="L4" s="3">
        <f t="shared" ref="L4:L16" si="2">(K4/B4)*100</f>
        <v>7.5757575757575761</v>
      </c>
      <c r="M4" s="2">
        <v>0</v>
      </c>
      <c r="N4" s="3">
        <f t="shared" ref="N4:N16" si="3">(M4/B4)*100</f>
        <v>0</v>
      </c>
      <c r="O4" s="2">
        <v>0</v>
      </c>
      <c r="P4" s="3">
        <f t="shared" ref="P4:P16" si="4">(O4/B4)*100</f>
        <v>0</v>
      </c>
    </row>
    <row r="5" spans="1:16">
      <c r="A5" t="s">
        <v>171</v>
      </c>
      <c r="B5" s="2">
        <v>85</v>
      </c>
      <c r="C5" s="2">
        <v>84</v>
      </c>
      <c r="D5" s="3">
        <f t="shared" si="0"/>
        <v>98.82352941176471</v>
      </c>
      <c r="E5" s="2">
        <v>74</v>
      </c>
      <c r="F5" s="3">
        <f t="shared" si="1"/>
        <v>87.058823529411768</v>
      </c>
      <c r="G5">
        <v>5</v>
      </c>
      <c r="H5" s="3">
        <f>(G5/B5)*100</f>
        <v>5.8823529411764701</v>
      </c>
      <c r="I5">
        <v>0</v>
      </c>
      <c r="J5" s="3">
        <f>(I5/B5)*100</f>
        <v>0</v>
      </c>
      <c r="K5" s="2">
        <v>9</v>
      </c>
      <c r="L5" s="3">
        <f t="shared" si="2"/>
        <v>10.588235294117647</v>
      </c>
      <c r="M5" s="2">
        <v>1</v>
      </c>
      <c r="N5" s="3">
        <f t="shared" si="3"/>
        <v>1.1764705882352942</v>
      </c>
      <c r="O5" s="2">
        <v>0</v>
      </c>
      <c r="P5" s="3">
        <f t="shared" si="4"/>
        <v>0</v>
      </c>
    </row>
    <row r="6" spans="1:16">
      <c r="A6" t="s">
        <v>136</v>
      </c>
      <c r="B6" s="2">
        <v>13</v>
      </c>
      <c r="C6" s="2">
        <v>13</v>
      </c>
      <c r="D6" s="3">
        <f t="shared" si="0"/>
        <v>100</v>
      </c>
      <c r="E6" s="2">
        <v>2</v>
      </c>
      <c r="F6" s="3">
        <f t="shared" si="1"/>
        <v>15.384615384615385</v>
      </c>
      <c r="G6">
        <v>0</v>
      </c>
      <c r="H6" s="3">
        <f t="shared" ref="H6:H16" si="5">(G6/B6)*100</f>
        <v>0</v>
      </c>
      <c r="I6">
        <v>0</v>
      </c>
      <c r="J6" s="3">
        <f t="shared" ref="J6:J16" si="6">(I6/B6)*100</f>
        <v>0</v>
      </c>
      <c r="K6" s="2">
        <v>11</v>
      </c>
      <c r="L6" s="3">
        <f t="shared" si="2"/>
        <v>84.615384615384613</v>
      </c>
      <c r="M6" s="2">
        <v>0</v>
      </c>
      <c r="N6" s="3">
        <f t="shared" si="3"/>
        <v>0</v>
      </c>
      <c r="O6" s="2">
        <v>0</v>
      </c>
      <c r="P6" s="3">
        <f t="shared" si="4"/>
        <v>0</v>
      </c>
    </row>
    <row r="7" spans="1:16">
      <c r="A7" t="s">
        <v>204</v>
      </c>
      <c r="B7" s="2">
        <v>44</v>
      </c>
      <c r="C7" s="2">
        <v>41</v>
      </c>
      <c r="D7" s="3">
        <f t="shared" si="0"/>
        <v>93.181818181818173</v>
      </c>
      <c r="E7" s="2">
        <v>23</v>
      </c>
      <c r="F7" s="3">
        <f t="shared" si="1"/>
        <v>52.272727272727273</v>
      </c>
      <c r="G7">
        <v>3</v>
      </c>
      <c r="H7" s="3">
        <f t="shared" si="5"/>
        <v>6.8181818181818175</v>
      </c>
      <c r="I7">
        <v>0</v>
      </c>
      <c r="J7" s="3">
        <f t="shared" si="6"/>
        <v>0</v>
      </c>
      <c r="K7" s="2">
        <v>18</v>
      </c>
      <c r="L7" s="3">
        <f t="shared" si="2"/>
        <v>40.909090909090914</v>
      </c>
      <c r="M7" s="2">
        <v>0</v>
      </c>
      <c r="N7" s="3">
        <f t="shared" si="3"/>
        <v>0</v>
      </c>
      <c r="O7" s="2">
        <v>0</v>
      </c>
      <c r="P7" s="3">
        <f t="shared" si="4"/>
        <v>0</v>
      </c>
    </row>
    <row r="8" spans="1:16">
      <c r="A8" t="s">
        <v>128</v>
      </c>
      <c r="B8" s="2">
        <v>223</v>
      </c>
      <c r="C8" s="2">
        <v>222</v>
      </c>
      <c r="D8" s="3">
        <f t="shared" si="0"/>
        <v>99.551569506726452</v>
      </c>
      <c r="E8" s="2">
        <v>219</v>
      </c>
      <c r="F8" s="3">
        <f t="shared" si="1"/>
        <v>98.206278026905821</v>
      </c>
      <c r="H8" s="3"/>
      <c r="J8" s="3"/>
      <c r="K8" s="2">
        <v>3</v>
      </c>
      <c r="L8" s="3">
        <f t="shared" si="2"/>
        <v>1.3452914798206279</v>
      </c>
      <c r="M8" s="2">
        <v>0</v>
      </c>
      <c r="N8" s="3">
        <f t="shared" si="3"/>
        <v>0</v>
      </c>
      <c r="O8" s="2">
        <v>1</v>
      </c>
      <c r="P8" s="3">
        <f t="shared" si="4"/>
        <v>0.44843049327354262</v>
      </c>
    </row>
    <row r="9" spans="1:16">
      <c r="A9" t="s">
        <v>120</v>
      </c>
      <c r="B9" s="2">
        <v>268</v>
      </c>
      <c r="C9" s="2">
        <v>267</v>
      </c>
      <c r="D9" s="3">
        <f t="shared" si="0"/>
        <v>99.626865671641795</v>
      </c>
      <c r="E9" s="2">
        <v>255</v>
      </c>
      <c r="F9" s="3">
        <f t="shared" si="1"/>
        <v>95.149253731343293</v>
      </c>
      <c r="H9" s="3"/>
      <c r="J9" s="3"/>
      <c r="K9" s="2">
        <v>12</v>
      </c>
      <c r="L9" s="3">
        <f t="shared" si="2"/>
        <v>4.4776119402985071</v>
      </c>
      <c r="M9" s="2">
        <v>0</v>
      </c>
      <c r="N9" s="3">
        <f t="shared" si="3"/>
        <v>0</v>
      </c>
      <c r="O9" s="2">
        <v>1</v>
      </c>
      <c r="P9" s="3">
        <f t="shared" si="4"/>
        <v>0.37313432835820892</v>
      </c>
    </row>
    <row r="10" spans="1:16">
      <c r="A10" t="s">
        <v>122</v>
      </c>
      <c r="B10" s="2">
        <v>105</v>
      </c>
      <c r="C10" s="2">
        <v>98</v>
      </c>
      <c r="D10" s="3">
        <f t="shared" si="0"/>
        <v>93.333333333333329</v>
      </c>
      <c r="E10" s="2">
        <v>92</v>
      </c>
      <c r="F10" s="3">
        <f t="shared" si="1"/>
        <v>87.61904761904762</v>
      </c>
      <c r="H10" s="3"/>
      <c r="J10" s="3"/>
      <c r="K10" s="2">
        <v>6</v>
      </c>
      <c r="L10" s="3">
        <f t="shared" si="2"/>
        <v>5.7142857142857144</v>
      </c>
      <c r="M10" s="2">
        <v>0</v>
      </c>
      <c r="N10" s="3">
        <f t="shared" si="3"/>
        <v>0</v>
      </c>
      <c r="O10" s="2">
        <v>0</v>
      </c>
      <c r="P10" s="3">
        <f t="shared" si="4"/>
        <v>0</v>
      </c>
    </row>
    <row r="11" spans="1:16">
      <c r="A11" t="s">
        <v>139</v>
      </c>
      <c r="B11" s="2">
        <v>173</v>
      </c>
      <c r="C11" s="2">
        <v>172</v>
      </c>
      <c r="D11" s="3">
        <f t="shared" si="0"/>
        <v>99.421965317919074</v>
      </c>
      <c r="E11" s="2">
        <v>154</v>
      </c>
      <c r="F11" s="3">
        <f t="shared" si="1"/>
        <v>89.017341040462426</v>
      </c>
      <c r="G11">
        <v>20</v>
      </c>
      <c r="H11" s="3">
        <f t="shared" si="5"/>
        <v>11.560693641618498</v>
      </c>
      <c r="I11">
        <v>0</v>
      </c>
      <c r="J11" s="3">
        <f t="shared" si="6"/>
        <v>0</v>
      </c>
      <c r="K11" s="2">
        <v>10</v>
      </c>
      <c r="L11" s="3">
        <f t="shared" si="2"/>
        <v>5.7803468208092488</v>
      </c>
      <c r="M11" s="2">
        <v>8</v>
      </c>
      <c r="N11" s="3">
        <f t="shared" si="3"/>
        <v>4.6242774566473983</v>
      </c>
      <c r="O11" s="2">
        <v>1</v>
      </c>
      <c r="P11" s="3">
        <f t="shared" si="4"/>
        <v>0.57803468208092479</v>
      </c>
    </row>
    <row r="12" spans="1:16">
      <c r="A12" t="s">
        <v>140</v>
      </c>
      <c r="B12" s="2">
        <v>68</v>
      </c>
      <c r="C12" s="2">
        <v>68</v>
      </c>
      <c r="D12" s="3">
        <f t="shared" si="0"/>
        <v>100</v>
      </c>
      <c r="E12" s="2">
        <v>60</v>
      </c>
      <c r="F12" s="3">
        <f t="shared" si="1"/>
        <v>88.235294117647058</v>
      </c>
      <c r="G12">
        <v>11</v>
      </c>
      <c r="H12" s="3">
        <f t="shared" si="5"/>
        <v>16.176470588235293</v>
      </c>
      <c r="I12">
        <v>2</v>
      </c>
      <c r="J12" s="3">
        <f t="shared" si="6"/>
        <v>2.9411764705882351</v>
      </c>
      <c r="K12" s="2">
        <v>4</v>
      </c>
      <c r="L12" s="3">
        <f t="shared" si="2"/>
        <v>5.8823529411764701</v>
      </c>
      <c r="M12" s="2">
        <v>4</v>
      </c>
      <c r="N12" s="3">
        <f t="shared" si="3"/>
        <v>5.8823529411764701</v>
      </c>
      <c r="O12" s="2">
        <v>0</v>
      </c>
      <c r="P12" s="3">
        <f t="shared" si="4"/>
        <v>0</v>
      </c>
    </row>
    <row r="13" spans="1:16" ht="14.65" thickBot="1">
      <c r="A13" s="5" t="s">
        <v>130</v>
      </c>
      <c r="B13" s="6">
        <v>173</v>
      </c>
      <c r="C13" s="6">
        <v>173</v>
      </c>
      <c r="D13" s="7">
        <f t="shared" si="0"/>
        <v>100</v>
      </c>
      <c r="E13" s="6">
        <v>136</v>
      </c>
      <c r="F13" s="7">
        <f t="shared" si="1"/>
        <v>78.612716763005778</v>
      </c>
      <c r="G13" s="5">
        <v>76</v>
      </c>
      <c r="H13" s="7">
        <f t="shared" si="5"/>
        <v>43.930635838150287</v>
      </c>
      <c r="I13" s="5">
        <v>1</v>
      </c>
      <c r="J13" s="7">
        <f t="shared" si="6"/>
        <v>0.57803468208092479</v>
      </c>
      <c r="K13" s="6">
        <v>25</v>
      </c>
      <c r="L13" s="7">
        <f t="shared" si="2"/>
        <v>14.450867052023122</v>
      </c>
      <c r="M13" s="6">
        <v>12</v>
      </c>
      <c r="N13" s="7">
        <f t="shared" si="3"/>
        <v>6.9364161849710975</v>
      </c>
      <c r="O13" s="6">
        <v>0</v>
      </c>
      <c r="P13" s="7">
        <f t="shared" si="4"/>
        <v>0</v>
      </c>
    </row>
    <row r="14" spans="1:16" ht="14.65" thickBot="1">
      <c r="A14" s="4" t="s">
        <v>934</v>
      </c>
      <c r="B14" s="8">
        <f>SUM(B3:B13)</f>
        <v>1427</v>
      </c>
      <c r="C14" s="8">
        <f>SUM(C3:C13)</f>
        <v>1409</v>
      </c>
      <c r="D14" s="7">
        <f t="shared" si="0"/>
        <v>98.738612473721091</v>
      </c>
      <c r="E14" s="8">
        <f>SUM(E3:E13)</f>
        <v>1260</v>
      </c>
      <c r="F14" s="7">
        <f t="shared" si="1"/>
        <v>88.297126839523472</v>
      </c>
      <c r="G14" s="4">
        <f>SUM(G3:G13)</f>
        <v>115</v>
      </c>
      <c r="H14" s="7">
        <f t="shared" si="5"/>
        <v>8.0588647512263503</v>
      </c>
      <c r="I14" s="4">
        <f>SUM(I3:I13)</f>
        <v>3</v>
      </c>
      <c r="J14" s="7">
        <f t="shared" si="6"/>
        <v>0.21023125437981782</v>
      </c>
      <c r="K14" s="8">
        <f>SUM(K3:K13)</f>
        <v>124</v>
      </c>
      <c r="L14" s="7">
        <f t="shared" si="2"/>
        <v>8.6895585143658032</v>
      </c>
      <c r="M14" s="8">
        <f>SUM(M3:M13)</f>
        <v>25</v>
      </c>
      <c r="N14" s="7">
        <f t="shared" si="3"/>
        <v>1.7519271198318149</v>
      </c>
      <c r="O14" s="8">
        <f>SUM(O3:O13)</f>
        <v>3</v>
      </c>
      <c r="P14" s="7">
        <f t="shared" si="4"/>
        <v>0.21023125437981782</v>
      </c>
    </row>
    <row r="15" spans="1:16">
      <c r="A15" s="10" t="s">
        <v>142</v>
      </c>
      <c r="B15" s="11">
        <v>100</v>
      </c>
      <c r="C15" s="11">
        <v>97</v>
      </c>
      <c r="D15" s="12">
        <f t="shared" si="0"/>
        <v>97</v>
      </c>
      <c r="E15" s="11">
        <v>49</v>
      </c>
      <c r="F15" s="12">
        <f t="shared" si="1"/>
        <v>49</v>
      </c>
      <c r="G15" s="10">
        <v>6</v>
      </c>
      <c r="H15" s="12">
        <f t="shared" si="5"/>
        <v>6</v>
      </c>
      <c r="I15" s="10">
        <v>0</v>
      </c>
      <c r="J15" s="12">
        <f t="shared" si="6"/>
        <v>0</v>
      </c>
      <c r="K15" s="11">
        <v>42</v>
      </c>
      <c r="L15" s="12">
        <f t="shared" si="2"/>
        <v>42</v>
      </c>
      <c r="M15" s="11">
        <v>6</v>
      </c>
      <c r="N15" s="12">
        <f t="shared" si="3"/>
        <v>6</v>
      </c>
      <c r="O15" s="11">
        <v>0</v>
      </c>
      <c r="P15" s="12">
        <f t="shared" si="4"/>
        <v>0</v>
      </c>
    </row>
    <row r="16" spans="1:16" ht="14.65" thickBot="1">
      <c r="A16" s="4" t="s">
        <v>311</v>
      </c>
      <c r="B16" s="8">
        <f>B14+B15</f>
        <v>1527</v>
      </c>
      <c r="C16" s="8">
        <f>C14+C15</f>
        <v>1506</v>
      </c>
      <c r="D16" s="9">
        <f t="shared" si="0"/>
        <v>98.624754420432211</v>
      </c>
      <c r="E16" s="8">
        <v>1310</v>
      </c>
      <c r="F16" s="9">
        <f t="shared" si="1"/>
        <v>85.789129011132943</v>
      </c>
      <c r="G16" s="4">
        <v>121</v>
      </c>
      <c r="H16" s="9">
        <f t="shared" si="5"/>
        <v>7.9240340537000655</v>
      </c>
      <c r="I16" s="4">
        <v>3</v>
      </c>
      <c r="J16" s="9">
        <f t="shared" si="6"/>
        <v>0.19646365422396855</v>
      </c>
      <c r="K16" s="8">
        <v>166</v>
      </c>
      <c r="L16" s="9">
        <f t="shared" si="2"/>
        <v>10.870988867059594</v>
      </c>
      <c r="M16" s="8">
        <v>31</v>
      </c>
      <c r="N16" s="9">
        <f t="shared" si="3"/>
        <v>2.0301244269810081</v>
      </c>
      <c r="O16" s="8">
        <v>3</v>
      </c>
      <c r="P16" s="9">
        <f t="shared" si="4"/>
        <v>0.19646365422396855</v>
      </c>
    </row>
    <row r="17" spans="1:15">
      <c r="B17" s="2"/>
      <c r="C17" s="2"/>
      <c r="E17" s="2"/>
      <c r="K17" s="2"/>
      <c r="M17" s="2"/>
      <c r="O17" s="2"/>
    </row>
    <row r="18" spans="1:15">
      <c r="A18" t="s">
        <v>133</v>
      </c>
      <c r="B18" s="2"/>
      <c r="C18" s="2"/>
      <c r="E18" s="2"/>
      <c r="K18" s="2"/>
      <c r="M18" s="2"/>
      <c r="O18" s="2"/>
    </row>
    <row r="19" spans="1:15">
      <c r="B19" s="2"/>
      <c r="C19" s="2"/>
      <c r="E19" s="2"/>
      <c r="K19" s="2"/>
      <c r="M19" s="2"/>
      <c r="O19" s="2"/>
    </row>
    <row r="20" spans="1:15">
      <c r="B20" s="2"/>
      <c r="C20" s="2"/>
      <c r="E20" s="2"/>
      <c r="K20" s="2"/>
      <c r="M20" s="2"/>
      <c r="O20" s="2"/>
    </row>
  </sheetData>
  <mergeCells count="9">
    <mergeCell ref="K1:L1"/>
    <mergeCell ref="M1:N1"/>
    <mergeCell ref="O1:P1"/>
    <mergeCell ref="A1:A2"/>
    <mergeCell ref="B1:B2"/>
    <mergeCell ref="C1:D1"/>
    <mergeCell ref="E1:F1"/>
    <mergeCell ref="G1:H1"/>
    <mergeCell ref="I1:J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27"/>
  <dimension ref="A1:R37"/>
  <sheetViews>
    <sheetView workbookViewId="0">
      <pane xSplit="1" ySplit="3" topLeftCell="B14" activePane="bottomRight" state="frozen"/>
      <selection pane="bottomRight" activeCell="H17" sqref="A1:R37"/>
      <selection pane="bottomLeft" activeCell="A4" sqref="A4"/>
      <selection pane="topRight" activeCell="B1" sqref="B1"/>
    </sheetView>
  </sheetViews>
  <sheetFormatPr defaultColWidth="11.42578125" defaultRowHeight="14.25"/>
  <cols>
    <col min="1" max="1" width="23.7109375" customWidth="1"/>
  </cols>
  <sheetData>
    <row r="1" spans="1:17" ht="14.65" thickBot="1">
      <c r="A1" s="66" t="s">
        <v>104</v>
      </c>
      <c r="B1" s="64" t="s">
        <v>935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</row>
    <row r="2" spans="1:17" ht="38.25" customHeight="1" thickBot="1">
      <c r="A2" s="66"/>
      <c r="B2" s="67" t="s">
        <v>936</v>
      </c>
      <c r="C2" s="67"/>
      <c r="D2" s="67" t="s">
        <v>937</v>
      </c>
      <c r="E2" s="67"/>
      <c r="F2" s="67" t="s">
        <v>938</v>
      </c>
      <c r="G2" s="67"/>
      <c r="H2" s="67" t="s">
        <v>939</v>
      </c>
      <c r="I2" s="67"/>
      <c r="J2" s="67" t="s">
        <v>940</v>
      </c>
      <c r="K2" s="67"/>
      <c r="L2" s="67" t="s">
        <v>941</v>
      </c>
      <c r="M2" s="67"/>
      <c r="N2" s="67" t="s">
        <v>942</v>
      </c>
      <c r="O2" s="67"/>
      <c r="P2" s="67" t="s">
        <v>943</v>
      </c>
      <c r="Q2" s="67"/>
    </row>
    <row r="3" spans="1:17" ht="14.65" thickBot="1">
      <c r="A3" s="64"/>
      <c r="B3" s="4" t="s">
        <v>146</v>
      </c>
      <c r="C3" s="4" t="s">
        <v>944</v>
      </c>
      <c r="D3" s="4" t="s">
        <v>146</v>
      </c>
      <c r="E3" s="4" t="s">
        <v>944</v>
      </c>
      <c r="F3" s="4" t="s">
        <v>146</v>
      </c>
      <c r="G3" s="4" t="s">
        <v>944</v>
      </c>
      <c r="H3" s="4" t="s">
        <v>146</v>
      </c>
      <c r="I3" s="4" t="s">
        <v>944</v>
      </c>
      <c r="J3" s="4" t="s">
        <v>146</v>
      </c>
      <c r="K3" s="4" t="s">
        <v>944</v>
      </c>
      <c r="L3" s="4" t="s">
        <v>146</v>
      </c>
      <c r="M3" s="4" t="s">
        <v>944</v>
      </c>
      <c r="N3" s="4" t="s">
        <v>146</v>
      </c>
      <c r="O3" s="4" t="s">
        <v>944</v>
      </c>
      <c r="P3" s="4" t="s">
        <v>146</v>
      </c>
      <c r="Q3" s="4" t="s">
        <v>944</v>
      </c>
    </row>
    <row r="4" spans="1:17">
      <c r="A4" t="s">
        <v>149</v>
      </c>
      <c r="B4" s="2">
        <v>298</v>
      </c>
      <c r="C4" s="2">
        <v>0</v>
      </c>
      <c r="D4" s="2">
        <v>340</v>
      </c>
      <c r="E4" s="2">
        <v>0</v>
      </c>
      <c r="F4" s="2">
        <v>137</v>
      </c>
      <c r="G4" s="2">
        <v>0</v>
      </c>
      <c r="H4" s="2">
        <v>177</v>
      </c>
      <c r="I4" s="2">
        <v>0</v>
      </c>
      <c r="J4" s="2">
        <v>297</v>
      </c>
      <c r="K4" s="2">
        <v>0</v>
      </c>
      <c r="L4" s="2">
        <v>319</v>
      </c>
      <c r="M4" s="2">
        <v>0</v>
      </c>
      <c r="N4" s="2">
        <v>274</v>
      </c>
      <c r="O4" s="2">
        <v>0</v>
      </c>
      <c r="P4" s="2">
        <v>309</v>
      </c>
      <c r="Q4" s="2">
        <v>0</v>
      </c>
    </row>
    <row r="5" spans="1:17">
      <c r="A5" t="s">
        <v>134</v>
      </c>
      <c r="B5" s="2">
        <v>189</v>
      </c>
      <c r="C5" s="2">
        <v>0</v>
      </c>
      <c r="D5" s="2">
        <v>312</v>
      </c>
      <c r="E5" s="2">
        <v>0</v>
      </c>
      <c r="H5" s="2">
        <v>156</v>
      </c>
      <c r="I5" s="2">
        <v>0</v>
      </c>
      <c r="J5" s="2">
        <v>311</v>
      </c>
      <c r="K5" s="2">
        <v>0</v>
      </c>
      <c r="L5" s="2">
        <v>312</v>
      </c>
      <c r="M5" s="2">
        <v>0</v>
      </c>
      <c r="N5" s="2">
        <v>312</v>
      </c>
      <c r="O5" s="2">
        <v>0</v>
      </c>
      <c r="P5" s="2">
        <v>313</v>
      </c>
      <c r="Q5" s="2">
        <v>0</v>
      </c>
    </row>
    <row r="6" spans="1:17">
      <c r="A6" t="s">
        <v>163</v>
      </c>
      <c r="B6" s="2">
        <v>456</v>
      </c>
      <c r="C6" s="2">
        <v>0</v>
      </c>
      <c r="D6" s="2">
        <v>150</v>
      </c>
      <c r="E6" s="2">
        <v>0</v>
      </c>
      <c r="J6" s="2">
        <v>223</v>
      </c>
      <c r="K6" s="2">
        <v>0</v>
      </c>
      <c r="L6" s="2">
        <v>137</v>
      </c>
      <c r="M6" s="2">
        <v>0</v>
      </c>
      <c r="P6" s="2">
        <v>142</v>
      </c>
      <c r="Q6" s="2">
        <v>0</v>
      </c>
    </row>
    <row r="7" spans="1:17">
      <c r="A7" t="s">
        <v>171</v>
      </c>
      <c r="B7" s="2">
        <v>144</v>
      </c>
      <c r="C7" s="2">
        <v>0</v>
      </c>
      <c r="D7" s="2">
        <v>131</v>
      </c>
      <c r="E7" s="2">
        <v>0</v>
      </c>
      <c r="F7" s="2">
        <v>94</v>
      </c>
      <c r="G7" s="2">
        <v>0</v>
      </c>
      <c r="H7" s="2">
        <v>110</v>
      </c>
      <c r="I7" s="2">
        <v>0</v>
      </c>
      <c r="J7" s="2">
        <v>290</v>
      </c>
      <c r="K7" s="2">
        <v>0</v>
      </c>
      <c r="L7" s="2">
        <v>97</v>
      </c>
      <c r="M7" s="2">
        <v>0</v>
      </c>
      <c r="N7" s="2">
        <v>297</v>
      </c>
      <c r="O7" s="2">
        <v>0</v>
      </c>
      <c r="P7" s="2">
        <v>93</v>
      </c>
      <c r="Q7" s="2">
        <v>0</v>
      </c>
    </row>
    <row r="8" spans="1:17">
      <c r="A8" t="s">
        <v>135</v>
      </c>
      <c r="B8" s="2">
        <v>188</v>
      </c>
      <c r="C8" s="2">
        <v>0</v>
      </c>
      <c r="D8" s="2">
        <v>152</v>
      </c>
      <c r="E8" s="2">
        <v>0</v>
      </c>
      <c r="J8" s="2">
        <v>81</v>
      </c>
      <c r="K8" s="2">
        <v>0</v>
      </c>
      <c r="L8" s="2">
        <v>155</v>
      </c>
      <c r="M8" s="2">
        <v>0</v>
      </c>
      <c r="P8" s="2">
        <v>155</v>
      </c>
      <c r="Q8" s="2">
        <v>0</v>
      </c>
    </row>
    <row r="9" spans="1:17">
      <c r="A9" t="s">
        <v>614</v>
      </c>
      <c r="B9" s="2">
        <v>293</v>
      </c>
      <c r="C9" s="2">
        <v>0</v>
      </c>
      <c r="D9" s="2">
        <v>296</v>
      </c>
      <c r="E9" s="2">
        <v>0</v>
      </c>
      <c r="H9" s="2">
        <v>152</v>
      </c>
      <c r="I9" s="2">
        <v>0</v>
      </c>
      <c r="J9" s="2">
        <v>317</v>
      </c>
      <c r="K9" s="2">
        <v>5</v>
      </c>
      <c r="L9" s="2">
        <v>297</v>
      </c>
      <c r="M9" s="2">
        <v>0</v>
      </c>
      <c r="P9" s="2">
        <v>299</v>
      </c>
      <c r="Q9" s="2">
        <v>0</v>
      </c>
    </row>
    <row r="10" spans="1:17">
      <c r="A10" t="s">
        <v>136</v>
      </c>
      <c r="B10" s="2">
        <v>697</v>
      </c>
      <c r="C10" s="2">
        <v>0</v>
      </c>
      <c r="D10" s="2">
        <v>352</v>
      </c>
      <c r="E10" s="2">
        <v>0</v>
      </c>
      <c r="H10" s="2">
        <v>113</v>
      </c>
      <c r="I10" s="2">
        <v>0</v>
      </c>
      <c r="J10" s="2">
        <v>296</v>
      </c>
      <c r="K10" s="2">
        <v>0</v>
      </c>
      <c r="L10" s="2">
        <v>340</v>
      </c>
      <c r="M10" s="2">
        <v>0</v>
      </c>
      <c r="N10" s="2">
        <v>312</v>
      </c>
      <c r="O10" s="2">
        <v>0</v>
      </c>
      <c r="P10" s="2">
        <v>283</v>
      </c>
      <c r="Q10" s="2">
        <v>0</v>
      </c>
    </row>
    <row r="11" spans="1:17">
      <c r="A11" t="s">
        <v>137</v>
      </c>
      <c r="B11" s="2">
        <v>150</v>
      </c>
      <c r="C11" s="2">
        <v>0</v>
      </c>
      <c r="D11" s="2">
        <v>148</v>
      </c>
      <c r="E11" s="2">
        <v>0</v>
      </c>
      <c r="J11" s="2">
        <v>149</v>
      </c>
      <c r="K11" s="2">
        <v>0</v>
      </c>
      <c r="L11" s="2">
        <v>136</v>
      </c>
      <c r="M11" s="2">
        <v>0</v>
      </c>
      <c r="P11" s="2">
        <v>136</v>
      </c>
      <c r="Q11" s="2">
        <v>0</v>
      </c>
    </row>
    <row r="12" spans="1:17">
      <c r="A12" t="s">
        <v>615</v>
      </c>
      <c r="B12" s="2">
        <v>301</v>
      </c>
      <c r="C12" s="2">
        <v>0</v>
      </c>
      <c r="D12" s="2">
        <v>300</v>
      </c>
      <c r="E12" s="2">
        <v>0</v>
      </c>
      <c r="H12" s="2">
        <v>151</v>
      </c>
      <c r="I12" s="2">
        <v>0</v>
      </c>
      <c r="J12" s="2">
        <v>300</v>
      </c>
      <c r="K12" s="2">
        <v>0</v>
      </c>
      <c r="L12" s="2">
        <v>302</v>
      </c>
      <c r="M12" s="2">
        <v>0</v>
      </c>
      <c r="P12" s="2">
        <v>299</v>
      </c>
      <c r="Q12" s="2">
        <v>0</v>
      </c>
    </row>
    <row r="13" spans="1:17">
      <c r="A13" t="s">
        <v>204</v>
      </c>
      <c r="B13" s="2">
        <v>406</v>
      </c>
      <c r="C13" s="2">
        <v>0</v>
      </c>
      <c r="D13" s="2">
        <v>323</v>
      </c>
      <c r="E13" s="2">
        <v>0</v>
      </c>
      <c r="F13" s="2">
        <v>420</v>
      </c>
      <c r="G13" s="2">
        <v>0</v>
      </c>
      <c r="H13" s="2">
        <v>321</v>
      </c>
      <c r="I13" s="2">
        <v>0</v>
      </c>
      <c r="J13" s="2">
        <v>294</v>
      </c>
      <c r="K13" s="2">
        <v>0</v>
      </c>
      <c r="L13" s="2">
        <v>318</v>
      </c>
      <c r="M13" s="2">
        <v>0</v>
      </c>
      <c r="N13" s="2">
        <v>280</v>
      </c>
      <c r="O13" s="2">
        <v>0</v>
      </c>
      <c r="P13" s="2">
        <v>312</v>
      </c>
      <c r="Q13" s="2">
        <v>0</v>
      </c>
    </row>
    <row r="14" spans="1:17">
      <c r="A14" t="s">
        <v>945</v>
      </c>
      <c r="B14" s="2">
        <v>386</v>
      </c>
      <c r="C14" s="2">
        <v>0</v>
      </c>
      <c r="D14" s="2">
        <v>462</v>
      </c>
      <c r="E14" s="2">
        <v>0</v>
      </c>
      <c r="F14" s="2">
        <v>351</v>
      </c>
      <c r="G14" s="2">
        <v>0</v>
      </c>
      <c r="H14" s="2">
        <v>442</v>
      </c>
      <c r="I14" s="2">
        <v>0</v>
      </c>
      <c r="J14" s="2">
        <v>348</v>
      </c>
      <c r="K14" s="2">
        <v>0</v>
      </c>
      <c r="L14" s="2">
        <v>379</v>
      </c>
      <c r="M14" s="2">
        <v>0</v>
      </c>
      <c r="N14" s="2">
        <v>343</v>
      </c>
      <c r="O14" s="2">
        <v>0</v>
      </c>
      <c r="P14" s="2">
        <v>365</v>
      </c>
      <c r="Q14" s="2">
        <v>0</v>
      </c>
    </row>
    <row r="15" spans="1:17">
      <c r="A15" t="s">
        <v>138</v>
      </c>
      <c r="B15" s="2">
        <v>91</v>
      </c>
      <c r="C15" s="2">
        <v>0</v>
      </c>
      <c r="D15" s="2">
        <v>156</v>
      </c>
      <c r="E15" s="2">
        <v>0</v>
      </c>
      <c r="J15" s="2">
        <v>15</v>
      </c>
      <c r="K15" s="2">
        <v>0</v>
      </c>
    </row>
    <row r="16" spans="1:17">
      <c r="A16" t="s">
        <v>119</v>
      </c>
      <c r="B16" s="2">
        <v>300</v>
      </c>
      <c r="C16" s="2">
        <v>0</v>
      </c>
      <c r="D16" s="2">
        <v>300</v>
      </c>
      <c r="E16" s="2">
        <v>0</v>
      </c>
      <c r="F16" s="2">
        <v>300</v>
      </c>
      <c r="G16" s="2">
        <v>0</v>
      </c>
      <c r="H16" s="2">
        <v>150</v>
      </c>
      <c r="I16" s="2">
        <v>0</v>
      </c>
      <c r="J16" s="2">
        <v>380</v>
      </c>
      <c r="K16" s="2">
        <v>0</v>
      </c>
      <c r="L16" s="2">
        <v>330</v>
      </c>
      <c r="M16" s="2">
        <v>0</v>
      </c>
      <c r="P16" s="2">
        <v>165</v>
      </c>
      <c r="Q16" s="2">
        <v>0</v>
      </c>
    </row>
    <row r="17" spans="1:18">
      <c r="A17" t="s">
        <v>129</v>
      </c>
      <c r="B17" s="2">
        <v>300</v>
      </c>
      <c r="C17" s="2">
        <v>0</v>
      </c>
      <c r="D17" s="2">
        <v>300</v>
      </c>
      <c r="E17" s="2">
        <v>0</v>
      </c>
      <c r="F17" s="2">
        <v>98</v>
      </c>
      <c r="G17" s="2">
        <v>0</v>
      </c>
      <c r="H17" s="2">
        <v>150</v>
      </c>
      <c r="I17" s="2">
        <v>0</v>
      </c>
      <c r="J17" s="2">
        <v>300</v>
      </c>
      <c r="K17" s="2">
        <v>0</v>
      </c>
      <c r="L17" s="2">
        <v>300</v>
      </c>
      <c r="M17" s="2">
        <v>0</v>
      </c>
      <c r="P17" s="2">
        <v>300</v>
      </c>
      <c r="Q17" s="2">
        <v>0</v>
      </c>
    </row>
    <row r="18" spans="1:18">
      <c r="A18" t="s">
        <v>946</v>
      </c>
      <c r="B18" s="2">
        <v>609</v>
      </c>
      <c r="C18" s="2">
        <v>0</v>
      </c>
      <c r="D18" s="2">
        <v>170</v>
      </c>
      <c r="E18" s="2">
        <v>0</v>
      </c>
      <c r="F18" s="2">
        <v>397</v>
      </c>
      <c r="G18" s="2">
        <v>1</v>
      </c>
      <c r="H18" s="2">
        <v>241</v>
      </c>
      <c r="I18" s="2">
        <v>0</v>
      </c>
      <c r="J18" s="2">
        <v>300</v>
      </c>
      <c r="K18" s="2">
        <v>19</v>
      </c>
      <c r="L18" s="2">
        <v>299</v>
      </c>
      <c r="M18" s="2">
        <v>0</v>
      </c>
      <c r="N18" s="2">
        <v>301</v>
      </c>
      <c r="O18" s="2">
        <v>4</v>
      </c>
      <c r="P18" s="2">
        <v>301</v>
      </c>
      <c r="Q18" s="2">
        <v>0</v>
      </c>
    </row>
    <row r="19" spans="1:18">
      <c r="A19" t="s">
        <v>228</v>
      </c>
      <c r="B19" s="2">
        <v>150</v>
      </c>
      <c r="C19" s="2">
        <v>0</v>
      </c>
      <c r="D19" s="2">
        <v>151</v>
      </c>
      <c r="E19" s="2">
        <v>0</v>
      </c>
      <c r="H19" s="2">
        <v>149</v>
      </c>
      <c r="I19" s="2">
        <v>0</v>
      </c>
      <c r="J19" s="2">
        <v>150</v>
      </c>
      <c r="K19" s="2">
        <v>0</v>
      </c>
      <c r="L19" s="2">
        <v>150</v>
      </c>
      <c r="M19" s="2">
        <v>0</v>
      </c>
      <c r="P19" s="2">
        <v>150</v>
      </c>
      <c r="Q19" s="2">
        <v>0</v>
      </c>
    </row>
    <row r="20" spans="1:18">
      <c r="A20" t="s">
        <v>233</v>
      </c>
      <c r="B20" s="2"/>
      <c r="C20" s="2"/>
      <c r="D20" s="2"/>
      <c r="E20" s="2"/>
      <c r="H20" s="2"/>
      <c r="I20" s="2"/>
      <c r="J20" s="2">
        <v>150</v>
      </c>
      <c r="K20" s="2">
        <v>0</v>
      </c>
      <c r="L20" s="2">
        <v>150</v>
      </c>
      <c r="M20" s="2">
        <v>0</v>
      </c>
      <c r="P20" s="2">
        <v>150</v>
      </c>
      <c r="Q20" s="2">
        <v>0</v>
      </c>
    </row>
    <row r="21" spans="1:18">
      <c r="A21" t="s">
        <v>116</v>
      </c>
      <c r="B21" s="2">
        <v>45</v>
      </c>
      <c r="C21" s="2">
        <v>0</v>
      </c>
      <c r="D21" s="2">
        <v>57</v>
      </c>
      <c r="E21" s="2">
        <v>0</v>
      </c>
      <c r="H21" s="2">
        <v>23</v>
      </c>
      <c r="I21" s="2">
        <v>0</v>
      </c>
      <c r="J21" s="2">
        <v>168</v>
      </c>
      <c r="K21" s="2">
        <v>0</v>
      </c>
      <c r="L21" s="2">
        <v>73</v>
      </c>
      <c r="M21" s="2">
        <v>0</v>
      </c>
      <c r="P21" s="2">
        <v>96</v>
      </c>
      <c r="Q21" s="2">
        <v>0</v>
      </c>
    </row>
    <row r="22" spans="1:18">
      <c r="A22" t="s">
        <v>121</v>
      </c>
      <c r="B22" s="2">
        <v>126</v>
      </c>
      <c r="C22" s="2">
        <v>0</v>
      </c>
      <c r="J22" s="2">
        <v>161</v>
      </c>
      <c r="K22" s="2">
        <v>0</v>
      </c>
      <c r="L22" s="2">
        <v>150</v>
      </c>
      <c r="M22" s="2">
        <v>0</v>
      </c>
      <c r="P22" s="2">
        <v>150</v>
      </c>
      <c r="Q22" s="2">
        <v>0</v>
      </c>
    </row>
    <row r="23" spans="1:18">
      <c r="A23" t="s">
        <v>947</v>
      </c>
      <c r="B23" s="2">
        <v>300</v>
      </c>
      <c r="C23" s="2">
        <v>0</v>
      </c>
      <c r="J23" s="2">
        <v>300</v>
      </c>
      <c r="K23" s="2">
        <v>0</v>
      </c>
      <c r="N23" s="2">
        <v>300</v>
      </c>
      <c r="O23" s="2">
        <v>0</v>
      </c>
      <c r="R23" t="s">
        <v>948</v>
      </c>
    </row>
    <row r="24" spans="1:18">
      <c r="A24" t="s">
        <v>123</v>
      </c>
      <c r="B24" s="2">
        <v>308</v>
      </c>
      <c r="C24" s="2">
        <v>0</v>
      </c>
      <c r="D24" s="2">
        <v>403</v>
      </c>
      <c r="E24" s="2">
        <v>0</v>
      </c>
      <c r="F24" s="2">
        <v>375</v>
      </c>
      <c r="G24" s="2">
        <v>0</v>
      </c>
      <c r="H24" s="2">
        <v>305</v>
      </c>
      <c r="I24" s="2">
        <v>0</v>
      </c>
      <c r="J24" s="2">
        <v>309</v>
      </c>
      <c r="K24" s="2">
        <v>0</v>
      </c>
      <c r="L24" s="2">
        <v>311</v>
      </c>
      <c r="M24" s="2">
        <v>0</v>
      </c>
      <c r="P24" s="2">
        <v>311</v>
      </c>
      <c r="Q24" s="2">
        <v>0</v>
      </c>
    </row>
    <row r="25" spans="1:18">
      <c r="A25" t="s">
        <v>139</v>
      </c>
      <c r="B25" s="2"/>
      <c r="C25" s="2"/>
      <c r="D25" s="2"/>
      <c r="E25" s="2"/>
      <c r="F25" s="2"/>
      <c r="G25" s="2"/>
      <c r="H25" s="2"/>
      <c r="I25" s="2"/>
      <c r="J25" s="2">
        <v>334</v>
      </c>
      <c r="K25" s="2">
        <v>7</v>
      </c>
      <c r="L25" s="2">
        <v>239</v>
      </c>
      <c r="M25" s="2">
        <v>0</v>
      </c>
      <c r="N25" s="2">
        <v>204</v>
      </c>
      <c r="O25" s="2">
        <v>0</v>
      </c>
      <c r="P25" s="2">
        <v>259</v>
      </c>
      <c r="Q25" s="2">
        <v>0</v>
      </c>
    </row>
    <row r="26" spans="1:18">
      <c r="A26" t="s">
        <v>140</v>
      </c>
      <c r="B26" s="2">
        <v>450</v>
      </c>
      <c r="C26" s="2">
        <v>0</v>
      </c>
      <c r="D26" s="2">
        <v>303</v>
      </c>
      <c r="E26" s="2">
        <v>0</v>
      </c>
      <c r="F26" s="2">
        <v>149</v>
      </c>
      <c r="G26" s="2">
        <v>0</v>
      </c>
      <c r="H26" s="2">
        <v>150</v>
      </c>
      <c r="I26" s="2">
        <v>0</v>
      </c>
      <c r="J26" s="2">
        <v>300</v>
      </c>
      <c r="K26" s="2">
        <v>1</v>
      </c>
      <c r="L26" s="2">
        <v>312</v>
      </c>
      <c r="M26" s="2">
        <v>0</v>
      </c>
      <c r="N26" s="2">
        <v>284</v>
      </c>
      <c r="O26" s="2">
        <v>0</v>
      </c>
      <c r="P26" s="2">
        <v>303</v>
      </c>
      <c r="Q26" s="2">
        <v>0</v>
      </c>
    </row>
    <row r="27" spans="1:18">
      <c r="A27" t="s">
        <v>271</v>
      </c>
      <c r="B27" s="2">
        <v>150</v>
      </c>
      <c r="C27" s="2">
        <v>0</v>
      </c>
      <c r="D27" s="2">
        <v>150</v>
      </c>
      <c r="E27" s="2">
        <v>0</v>
      </c>
      <c r="H27" s="2">
        <v>150</v>
      </c>
      <c r="I27" s="2">
        <v>0</v>
      </c>
      <c r="J27" s="2">
        <v>149</v>
      </c>
      <c r="K27" s="2">
        <v>0</v>
      </c>
      <c r="L27" s="2">
        <v>150</v>
      </c>
      <c r="M27" s="2">
        <v>0</v>
      </c>
      <c r="P27" s="2">
        <v>150</v>
      </c>
      <c r="Q27" s="2">
        <v>0</v>
      </c>
    </row>
    <row r="28" spans="1:18">
      <c r="A28" t="s">
        <v>277</v>
      </c>
      <c r="B28" s="2">
        <v>151</v>
      </c>
      <c r="C28" s="2">
        <v>0</v>
      </c>
      <c r="D28" s="2">
        <v>153</v>
      </c>
      <c r="E28" s="2">
        <v>0</v>
      </c>
      <c r="H28" s="2">
        <v>153</v>
      </c>
      <c r="I28" s="2">
        <v>0</v>
      </c>
      <c r="J28" s="2">
        <v>153</v>
      </c>
      <c r="K28" s="2">
        <v>0</v>
      </c>
      <c r="L28" s="2">
        <v>153</v>
      </c>
      <c r="M28" s="2">
        <v>0</v>
      </c>
      <c r="P28" s="2">
        <v>153</v>
      </c>
      <c r="Q28" s="2">
        <v>0</v>
      </c>
    </row>
    <row r="29" spans="1:18">
      <c r="A29" t="s">
        <v>130</v>
      </c>
      <c r="B29" s="2">
        <v>564</v>
      </c>
      <c r="C29" s="2">
        <v>0</v>
      </c>
      <c r="D29" s="2">
        <v>265</v>
      </c>
      <c r="E29" s="2">
        <v>0</v>
      </c>
      <c r="F29" s="2">
        <v>566</v>
      </c>
      <c r="G29" s="2">
        <v>0</v>
      </c>
      <c r="H29" s="2">
        <v>133</v>
      </c>
      <c r="I29" s="2">
        <v>0</v>
      </c>
      <c r="J29" s="2">
        <v>413</v>
      </c>
      <c r="K29" s="2">
        <v>22</v>
      </c>
      <c r="L29" s="2">
        <v>297</v>
      </c>
      <c r="M29" s="2">
        <v>1</v>
      </c>
      <c r="N29" s="2">
        <v>394</v>
      </c>
      <c r="O29" s="2">
        <v>1</v>
      </c>
      <c r="P29" s="2">
        <v>297</v>
      </c>
      <c r="Q29" s="2">
        <v>0</v>
      </c>
    </row>
    <row r="30" spans="1:18">
      <c r="A30" t="s">
        <v>525</v>
      </c>
      <c r="B30" s="2">
        <v>302</v>
      </c>
      <c r="C30" s="2">
        <v>0</v>
      </c>
      <c r="D30" s="2">
        <v>296</v>
      </c>
      <c r="E30" s="2">
        <v>0</v>
      </c>
      <c r="F30" s="2">
        <v>34</v>
      </c>
      <c r="G30" s="2">
        <v>0</v>
      </c>
      <c r="H30" s="2">
        <v>81</v>
      </c>
      <c r="I30" s="2">
        <v>0</v>
      </c>
      <c r="J30" s="2">
        <v>302</v>
      </c>
      <c r="K30" s="2">
        <v>0</v>
      </c>
      <c r="L30" s="2">
        <v>298</v>
      </c>
      <c r="M30" s="2">
        <v>0</v>
      </c>
      <c r="N30" s="2">
        <v>14</v>
      </c>
      <c r="O30" s="2">
        <v>0</v>
      </c>
      <c r="P30" s="2">
        <v>304</v>
      </c>
      <c r="Q30" s="2">
        <v>0</v>
      </c>
    </row>
    <row r="31" spans="1:18" ht="28.9" thickBot="1">
      <c r="A31" s="26" t="s">
        <v>427</v>
      </c>
      <c r="B31" s="6"/>
      <c r="C31" s="6"/>
      <c r="D31" s="6"/>
      <c r="E31" s="6"/>
      <c r="F31" s="6"/>
      <c r="G31" s="6"/>
      <c r="H31" s="6"/>
      <c r="I31" s="6"/>
      <c r="J31" s="6">
        <v>294</v>
      </c>
      <c r="K31" s="6">
        <v>0</v>
      </c>
      <c r="L31" s="6">
        <v>96</v>
      </c>
      <c r="M31" s="6">
        <v>0</v>
      </c>
      <c r="N31" s="5"/>
      <c r="O31" s="5"/>
      <c r="P31" s="2">
        <v>98</v>
      </c>
      <c r="Q31" s="2">
        <v>0</v>
      </c>
    </row>
    <row r="32" spans="1:18" ht="14.65" thickBot="1">
      <c r="A32" s="57" t="s">
        <v>679</v>
      </c>
      <c r="B32" s="58">
        <v>7354</v>
      </c>
      <c r="C32" s="58">
        <v>0</v>
      </c>
      <c r="D32" s="58">
        <v>5670</v>
      </c>
      <c r="E32" s="58">
        <v>0</v>
      </c>
      <c r="F32" s="58">
        <v>2921</v>
      </c>
      <c r="G32" s="58">
        <v>1</v>
      </c>
      <c r="H32" s="58">
        <v>3307</v>
      </c>
      <c r="I32" s="58">
        <v>0</v>
      </c>
      <c r="J32" s="58">
        <v>7084</v>
      </c>
      <c r="K32" s="57">
        <v>54</v>
      </c>
      <c r="L32" s="58">
        <v>6100</v>
      </c>
      <c r="M32" s="57">
        <v>1</v>
      </c>
      <c r="N32" s="58">
        <v>3315</v>
      </c>
      <c r="O32" s="57">
        <v>5</v>
      </c>
      <c r="P32" s="58">
        <v>5893</v>
      </c>
      <c r="Q32" s="57">
        <v>0</v>
      </c>
    </row>
    <row r="33" spans="1:17">
      <c r="A33" t="s">
        <v>436</v>
      </c>
      <c r="B33" s="2">
        <v>150</v>
      </c>
      <c r="C33" s="2">
        <v>0</v>
      </c>
    </row>
    <row r="34" spans="1:17">
      <c r="A34" t="s">
        <v>145</v>
      </c>
      <c r="B34" s="2">
        <v>363</v>
      </c>
      <c r="C34" s="2">
        <v>0</v>
      </c>
      <c r="D34" s="2">
        <v>302</v>
      </c>
      <c r="E34" s="2">
        <v>0</v>
      </c>
      <c r="F34" s="2">
        <v>110</v>
      </c>
      <c r="G34" s="2">
        <v>0</v>
      </c>
      <c r="H34" s="2">
        <v>121</v>
      </c>
      <c r="I34" s="2">
        <v>0</v>
      </c>
      <c r="J34" s="2">
        <v>333</v>
      </c>
      <c r="K34" s="2">
        <v>0</v>
      </c>
      <c r="L34" s="2">
        <v>283</v>
      </c>
      <c r="M34" s="2">
        <v>0</v>
      </c>
      <c r="P34" s="2">
        <v>286</v>
      </c>
      <c r="Q34" s="2">
        <v>0</v>
      </c>
    </row>
    <row r="35" spans="1:17" ht="14.65" thickBot="1">
      <c r="A35" s="5" t="s">
        <v>142</v>
      </c>
      <c r="B35" s="6">
        <v>510</v>
      </c>
      <c r="C35" s="6">
        <v>0</v>
      </c>
      <c r="D35" s="6">
        <v>307</v>
      </c>
      <c r="E35" s="6">
        <v>0</v>
      </c>
      <c r="F35" s="5"/>
      <c r="G35" s="5"/>
      <c r="H35" s="6">
        <v>139</v>
      </c>
      <c r="I35" s="6">
        <v>0</v>
      </c>
      <c r="J35" s="6">
        <v>308</v>
      </c>
      <c r="K35" s="6">
        <v>0</v>
      </c>
      <c r="L35" s="6">
        <v>309</v>
      </c>
      <c r="M35" s="6">
        <v>0</v>
      </c>
      <c r="N35" s="6">
        <v>306</v>
      </c>
      <c r="O35" s="6">
        <v>0</v>
      </c>
      <c r="P35" s="6">
        <v>308</v>
      </c>
      <c r="Q35" s="6">
        <v>0</v>
      </c>
    </row>
    <row r="36" spans="1:17" ht="14.65" thickBot="1">
      <c r="A36" s="4" t="s">
        <v>444</v>
      </c>
      <c r="B36" s="8">
        <v>1023</v>
      </c>
      <c r="C36" s="8">
        <v>0</v>
      </c>
      <c r="D36" s="8">
        <v>609</v>
      </c>
      <c r="E36" s="8">
        <v>0</v>
      </c>
      <c r="F36" s="8">
        <v>110</v>
      </c>
      <c r="G36" s="8">
        <v>0</v>
      </c>
      <c r="H36" s="8">
        <v>260</v>
      </c>
      <c r="I36" s="8">
        <v>0</v>
      </c>
      <c r="J36" s="8">
        <v>641</v>
      </c>
      <c r="K36" s="8">
        <v>0</v>
      </c>
      <c r="L36" s="8">
        <v>592</v>
      </c>
      <c r="M36" s="8">
        <v>0</v>
      </c>
      <c r="N36" s="8">
        <v>306</v>
      </c>
      <c r="O36" s="8">
        <v>0</v>
      </c>
      <c r="P36" s="8">
        <v>594</v>
      </c>
      <c r="Q36" s="8">
        <v>0</v>
      </c>
    </row>
    <row r="37" spans="1:17" ht="14.65" thickBot="1">
      <c r="A37" s="4" t="s">
        <v>311</v>
      </c>
      <c r="B37" s="8">
        <v>8377</v>
      </c>
      <c r="C37" s="8">
        <v>0</v>
      </c>
      <c r="D37" s="8">
        <v>6279</v>
      </c>
      <c r="E37" s="8">
        <v>0</v>
      </c>
      <c r="F37" s="8">
        <v>3031</v>
      </c>
      <c r="G37" s="8">
        <v>1</v>
      </c>
      <c r="H37" s="8">
        <v>3567</v>
      </c>
      <c r="I37" s="8">
        <v>0</v>
      </c>
      <c r="J37" s="8">
        <v>7725</v>
      </c>
      <c r="K37" s="8">
        <v>54</v>
      </c>
      <c r="L37" s="8">
        <v>6692</v>
      </c>
      <c r="M37" s="8">
        <v>1</v>
      </c>
      <c r="N37" s="8">
        <v>3621</v>
      </c>
      <c r="O37" s="8">
        <v>5</v>
      </c>
      <c r="P37" s="8">
        <v>6487</v>
      </c>
      <c r="Q37" s="8">
        <v>0</v>
      </c>
    </row>
  </sheetData>
  <mergeCells count="10">
    <mergeCell ref="A1:A3"/>
    <mergeCell ref="B1:Q1"/>
    <mergeCell ref="B2:C2"/>
    <mergeCell ref="D2:E2"/>
    <mergeCell ref="F2:G2"/>
    <mergeCell ref="H2:I2"/>
    <mergeCell ref="J2:K2"/>
    <mergeCell ref="L2:M2"/>
    <mergeCell ref="N2:O2"/>
    <mergeCell ref="P2:Q2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28"/>
  <dimension ref="A1:P13"/>
  <sheetViews>
    <sheetView workbookViewId="0">
      <selection activeCell="D18" sqref="D18"/>
    </sheetView>
  </sheetViews>
  <sheetFormatPr defaultColWidth="11.42578125" defaultRowHeight="14.25"/>
  <cols>
    <col min="1" max="1" width="21.7109375" customWidth="1"/>
  </cols>
  <sheetData>
    <row r="1" spans="1:16" ht="14.65" thickBot="1">
      <c r="A1" s="69" t="s">
        <v>949</v>
      </c>
      <c r="B1" s="69" t="s">
        <v>105</v>
      </c>
      <c r="C1" s="68" t="s">
        <v>106</v>
      </c>
      <c r="D1" s="68"/>
      <c r="E1" s="68" t="s">
        <v>107</v>
      </c>
      <c r="F1" s="68"/>
      <c r="G1" s="68"/>
      <c r="H1" s="68" t="s">
        <v>110</v>
      </c>
      <c r="I1" s="68"/>
      <c r="J1" s="68"/>
      <c r="K1" s="68" t="s">
        <v>111</v>
      </c>
      <c r="L1" s="68"/>
      <c r="M1" s="68"/>
      <c r="N1" s="68" t="s">
        <v>112</v>
      </c>
      <c r="O1" s="68"/>
      <c r="P1" s="68"/>
    </row>
    <row r="2" spans="1:16" ht="14.65" thickBot="1">
      <c r="A2" s="70"/>
      <c r="B2" s="70"/>
      <c r="C2" s="59" t="s">
        <v>69</v>
      </c>
      <c r="D2" s="59" t="s">
        <v>83</v>
      </c>
      <c r="E2" s="59" t="s">
        <v>69</v>
      </c>
      <c r="F2" s="59" t="s">
        <v>81</v>
      </c>
      <c r="G2" s="59" t="s">
        <v>83</v>
      </c>
      <c r="H2" s="59" t="s">
        <v>69</v>
      </c>
      <c r="I2" s="59" t="s">
        <v>81</v>
      </c>
      <c r="J2" s="59" t="s">
        <v>83</v>
      </c>
      <c r="K2" s="59" t="s">
        <v>69</v>
      </c>
      <c r="L2" s="59" t="s">
        <v>81</v>
      </c>
      <c r="M2" s="59" t="s">
        <v>83</v>
      </c>
      <c r="N2" s="59" t="s">
        <v>69</v>
      </c>
      <c r="O2" s="59" t="s">
        <v>81</v>
      </c>
      <c r="P2" s="59" t="s">
        <v>83</v>
      </c>
    </row>
    <row r="3" spans="1:16" ht="28.5">
      <c r="A3" s="29" t="s">
        <v>950</v>
      </c>
      <c r="B3">
        <v>1969</v>
      </c>
      <c r="C3">
        <v>1933</v>
      </c>
      <c r="D3" s="3">
        <v>27.7</v>
      </c>
      <c r="E3">
        <v>1504</v>
      </c>
      <c r="F3" s="3">
        <f>(E3/B3)*100</f>
        <v>76.383951244286436</v>
      </c>
      <c r="G3" s="3">
        <v>21.6</v>
      </c>
      <c r="H3">
        <v>388</v>
      </c>
      <c r="I3" s="3">
        <v>19.7</v>
      </c>
      <c r="J3" s="3">
        <v>5.6</v>
      </c>
      <c r="K3">
        <v>61</v>
      </c>
      <c r="L3" s="3">
        <f>(K3/B3)*100</f>
        <v>3.0980192991366176</v>
      </c>
      <c r="M3" s="3">
        <v>0.9</v>
      </c>
      <c r="N3">
        <v>0</v>
      </c>
      <c r="O3">
        <f>(N3/B3)*100</f>
        <v>0</v>
      </c>
      <c r="P3">
        <v>0</v>
      </c>
    </row>
    <row r="4" spans="1:16" ht="28.5">
      <c r="A4" s="29" t="s">
        <v>951</v>
      </c>
      <c r="B4">
        <v>205</v>
      </c>
      <c r="C4">
        <v>204</v>
      </c>
      <c r="D4" s="3">
        <v>58.8</v>
      </c>
      <c r="E4">
        <v>177</v>
      </c>
      <c r="F4" s="3">
        <f t="shared" ref="F4:F10" si="0">(E4/B4)*100</f>
        <v>86.341463414634148</v>
      </c>
      <c r="G4" s="3">
        <v>51</v>
      </c>
      <c r="H4">
        <v>28</v>
      </c>
      <c r="I4" s="3">
        <v>13.7</v>
      </c>
      <c r="J4" s="3">
        <v>8.1</v>
      </c>
      <c r="K4">
        <v>1</v>
      </c>
      <c r="L4" s="3">
        <f t="shared" ref="L4:L10" si="1">(K4/B4)*100</f>
        <v>0.48780487804878048</v>
      </c>
      <c r="M4" s="3">
        <v>0.3</v>
      </c>
      <c r="N4">
        <v>0</v>
      </c>
      <c r="O4">
        <f t="shared" ref="O4:O10" si="2">(N4/B4)*100</f>
        <v>0</v>
      </c>
      <c r="P4">
        <v>0</v>
      </c>
    </row>
    <row r="5" spans="1:16" ht="28.5">
      <c r="A5" s="29" t="s">
        <v>952</v>
      </c>
      <c r="B5">
        <v>949</v>
      </c>
      <c r="C5">
        <v>941</v>
      </c>
      <c r="D5" s="3">
        <v>23.3</v>
      </c>
      <c r="E5">
        <v>822</v>
      </c>
      <c r="F5" s="3">
        <f t="shared" si="0"/>
        <v>86.617492096944147</v>
      </c>
      <c r="G5" s="3">
        <v>20.399999999999999</v>
      </c>
      <c r="H5">
        <v>95</v>
      </c>
      <c r="I5" s="3">
        <v>10</v>
      </c>
      <c r="J5" s="3">
        <v>2.4</v>
      </c>
      <c r="K5">
        <v>36</v>
      </c>
      <c r="L5" s="3">
        <f t="shared" si="1"/>
        <v>3.7934668071654376</v>
      </c>
      <c r="M5" s="3">
        <v>0.9</v>
      </c>
      <c r="N5">
        <v>0</v>
      </c>
      <c r="O5">
        <f t="shared" si="2"/>
        <v>0</v>
      </c>
      <c r="P5">
        <v>0</v>
      </c>
    </row>
    <row r="6" spans="1:16" ht="28.5">
      <c r="A6" s="29" t="s">
        <v>953</v>
      </c>
      <c r="B6">
        <v>32</v>
      </c>
      <c r="C6">
        <v>32</v>
      </c>
      <c r="D6" s="3">
        <v>68.900000000000006</v>
      </c>
      <c r="E6">
        <v>26</v>
      </c>
      <c r="F6" s="3">
        <f t="shared" si="0"/>
        <v>81.25</v>
      </c>
      <c r="G6" s="3">
        <v>56</v>
      </c>
      <c r="H6">
        <v>6</v>
      </c>
      <c r="I6" s="3">
        <v>18.8</v>
      </c>
      <c r="J6" s="3">
        <v>12.9</v>
      </c>
      <c r="K6">
        <v>0</v>
      </c>
      <c r="L6" s="39">
        <f t="shared" si="1"/>
        <v>0</v>
      </c>
      <c r="M6" s="39">
        <v>0</v>
      </c>
      <c r="N6">
        <v>0</v>
      </c>
      <c r="O6">
        <f t="shared" si="2"/>
        <v>0</v>
      </c>
      <c r="P6">
        <v>0</v>
      </c>
    </row>
    <row r="7" spans="1:16" ht="28.5">
      <c r="A7" s="29" t="s">
        <v>954</v>
      </c>
      <c r="B7">
        <v>358</v>
      </c>
      <c r="C7">
        <v>358</v>
      </c>
      <c r="D7" s="3">
        <v>5.0999999999999996</v>
      </c>
      <c r="E7">
        <v>263</v>
      </c>
      <c r="F7" s="3">
        <f t="shared" si="0"/>
        <v>73.463687150837984</v>
      </c>
      <c r="G7" s="3">
        <v>3.7</v>
      </c>
      <c r="H7">
        <v>84</v>
      </c>
      <c r="I7" s="3">
        <v>23.5</v>
      </c>
      <c r="J7" s="3">
        <v>1.2</v>
      </c>
      <c r="K7">
        <v>11</v>
      </c>
      <c r="L7" s="3">
        <f t="shared" si="1"/>
        <v>3.0726256983240221</v>
      </c>
      <c r="M7" s="3">
        <v>0.2</v>
      </c>
      <c r="N7">
        <v>0</v>
      </c>
      <c r="O7">
        <f t="shared" si="2"/>
        <v>0</v>
      </c>
      <c r="P7">
        <v>0</v>
      </c>
    </row>
    <row r="8" spans="1:16" ht="28.5">
      <c r="A8" s="29" t="s">
        <v>955</v>
      </c>
      <c r="B8">
        <v>12</v>
      </c>
      <c r="C8">
        <v>12</v>
      </c>
      <c r="D8" s="3">
        <v>3.8</v>
      </c>
      <c r="E8">
        <v>7</v>
      </c>
      <c r="F8" s="3">
        <f t="shared" si="0"/>
        <v>58.333333333333336</v>
      </c>
      <c r="G8" s="3">
        <v>2.2000000000000002</v>
      </c>
      <c r="H8">
        <v>5</v>
      </c>
      <c r="I8" s="3">
        <v>41.7</v>
      </c>
      <c r="J8" s="3">
        <v>1.6</v>
      </c>
      <c r="K8">
        <v>0</v>
      </c>
      <c r="L8" s="39">
        <f t="shared" si="1"/>
        <v>0</v>
      </c>
      <c r="M8" s="39">
        <v>0</v>
      </c>
      <c r="N8">
        <v>0</v>
      </c>
      <c r="O8">
        <f t="shared" si="2"/>
        <v>0</v>
      </c>
      <c r="P8">
        <v>0</v>
      </c>
    </row>
    <row r="9" spans="1:16" ht="28.5">
      <c r="A9" s="29" t="s">
        <v>956</v>
      </c>
      <c r="B9">
        <v>273</v>
      </c>
      <c r="C9">
        <v>272</v>
      </c>
      <c r="D9" s="3">
        <v>4</v>
      </c>
      <c r="E9">
        <v>237</v>
      </c>
      <c r="F9" s="3">
        <f t="shared" si="0"/>
        <v>86.813186813186817</v>
      </c>
      <c r="G9" s="3">
        <v>3.5</v>
      </c>
      <c r="H9">
        <v>29</v>
      </c>
      <c r="I9" s="3">
        <v>10.6</v>
      </c>
      <c r="J9" s="3">
        <v>0.4</v>
      </c>
      <c r="K9">
        <v>6</v>
      </c>
      <c r="L9" s="3">
        <f t="shared" si="1"/>
        <v>2.197802197802198</v>
      </c>
      <c r="M9" s="3">
        <v>0.2</v>
      </c>
      <c r="N9">
        <v>0</v>
      </c>
      <c r="O9">
        <f t="shared" si="2"/>
        <v>0</v>
      </c>
      <c r="P9">
        <v>0</v>
      </c>
    </row>
    <row r="10" spans="1:16" ht="28.9" thickBot="1">
      <c r="A10" s="26" t="s">
        <v>957</v>
      </c>
      <c r="B10" s="5">
        <v>3</v>
      </c>
      <c r="C10" s="5">
        <v>3</v>
      </c>
      <c r="D10" s="7">
        <v>0.4</v>
      </c>
      <c r="E10" s="5">
        <v>2</v>
      </c>
      <c r="F10" s="7">
        <f t="shared" si="0"/>
        <v>66.666666666666657</v>
      </c>
      <c r="G10" s="7">
        <v>0.3</v>
      </c>
      <c r="H10" s="5">
        <v>1</v>
      </c>
      <c r="I10" s="7">
        <v>33.299999999999997</v>
      </c>
      <c r="J10" s="7">
        <v>0.1</v>
      </c>
      <c r="K10" s="5">
        <v>0</v>
      </c>
      <c r="L10" s="40">
        <f t="shared" si="1"/>
        <v>0</v>
      </c>
      <c r="M10" s="40">
        <v>0</v>
      </c>
      <c r="N10" s="5">
        <v>0</v>
      </c>
      <c r="O10" s="5">
        <f t="shared" si="2"/>
        <v>0</v>
      </c>
      <c r="P10" s="5">
        <v>0</v>
      </c>
    </row>
    <row r="12" spans="1:16">
      <c r="A12" s="43" t="s">
        <v>958</v>
      </c>
    </row>
    <row r="13" spans="1:16">
      <c r="A13" s="43"/>
    </row>
  </sheetData>
  <mergeCells count="7">
    <mergeCell ref="N1:P1"/>
    <mergeCell ref="A1:A2"/>
    <mergeCell ref="B1:B2"/>
    <mergeCell ref="C1:D1"/>
    <mergeCell ref="E1:G1"/>
    <mergeCell ref="H1:J1"/>
    <mergeCell ref="K1:M1"/>
  </mergeCells>
  <pageMargins left="0.7" right="0.7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19"/>
  <dimension ref="A1:A26"/>
  <sheetViews>
    <sheetView tabSelected="1" workbookViewId="0">
      <selection activeCell="K30" sqref="K30"/>
    </sheetView>
  </sheetViews>
  <sheetFormatPr defaultColWidth="10.7109375" defaultRowHeight="14.25"/>
  <cols>
    <col min="1" max="1" width="10.7109375" style="14"/>
  </cols>
  <sheetData>
    <row r="1" spans="1:1">
      <c r="A1" s="14" t="s">
        <v>959</v>
      </c>
    </row>
    <row r="2" spans="1:1">
      <c r="A2" s="14" t="s">
        <v>4</v>
      </c>
    </row>
    <row r="3" spans="1:1">
      <c r="A3" s="14" t="s">
        <v>5</v>
      </c>
    </row>
    <row r="4" spans="1:1">
      <c r="A4" s="14" t="s">
        <v>7</v>
      </c>
    </row>
    <row r="5" spans="1:1">
      <c r="A5" s="14" t="s">
        <v>9</v>
      </c>
    </row>
    <row r="6" spans="1:1">
      <c r="A6" s="14" t="s">
        <v>11</v>
      </c>
    </row>
    <row r="7" spans="1:1">
      <c r="A7" s="14" t="s">
        <v>13</v>
      </c>
    </row>
    <row r="8" spans="1:1">
      <c r="A8" s="14" t="s">
        <v>15</v>
      </c>
    </row>
    <row r="9" spans="1:1">
      <c r="A9" s="14" t="s">
        <v>17</v>
      </c>
    </row>
    <row r="10" spans="1:1">
      <c r="A10" s="14" t="s">
        <v>19</v>
      </c>
    </row>
    <row r="11" spans="1:1">
      <c r="A11" s="14" t="s">
        <v>21</v>
      </c>
    </row>
    <row r="12" spans="1:1">
      <c r="A12" s="14" t="s">
        <v>23</v>
      </c>
    </row>
    <row r="13" spans="1:1">
      <c r="A13" s="14" t="s">
        <v>25</v>
      </c>
    </row>
    <row r="14" spans="1:1">
      <c r="A14" s="14" t="s">
        <v>27</v>
      </c>
    </row>
    <row r="15" spans="1:1">
      <c r="A15" s="14" t="s">
        <v>29</v>
      </c>
    </row>
    <row r="16" spans="1:1">
      <c r="A16" s="14" t="s">
        <v>31</v>
      </c>
    </row>
    <row r="17" spans="1:1">
      <c r="A17" s="14" t="s">
        <v>33</v>
      </c>
    </row>
    <row r="18" spans="1:1">
      <c r="A18" s="14" t="s">
        <v>35</v>
      </c>
    </row>
    <row r="19" spans="1:1">
      <c r="A19" s="14" t="s">
        <v>37</v>
      </c>
    </row>
    <row r="20" spans="1:1">
      <c r="A20" s="14" t="s">
        <v>39</v>
      </c>
    </row>
    <row r="21" spans="1:1">
      <c r="A21" s="14" t="s">
        <v>41</v>
      </c>
    </row>
    <row r="22" spans="1:1">
      <c r="A22" s="14" t="s">
        <v>43</v>
      </c>
    </row>
    <row r="23" spans="1:1">
      <c r="A23" s="14" t="s">
        <v>45</v>
      </c>
    </row>
    <row r="24" spans="1:1">
      <c r="A24" s="14" t="s">
        <v>47</v>
      </c>
    </row>
    <row r="25" spans="1:1">
      <c r="A25" s="14" t="s">
        <v>49</v>
      </c>
    </row>
    <row r="26" spans="1:1">
      <c r="A26" s="14" t="s">
        <v>51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0E1F79EBFA054AAC36B0838FF4901B" ma:contentTypeVersion="14" ma:contentTypeDescription="Create a new document." ma:contentTypeScope="" ma:versionID="7e4885faeb72ea3c9546ea0638711ee0">
  <xsd:schema xmlns:xsd="http://www.w3.org/2001/XMLSchema" xmlns:xs="http://www.w3.org/2001/XMLSchema" xmlns:p="http://schemas.microsoft.com/office/2006/metadata/properties" xmlns:ns2="d2ac282c-ca65-4dd4-8d74-97e97485d4fc" xmlns:ns3="0f0d7073-3e63-4ef0-a2a9-471b8e67a6a4" targetNamespace="http://schemas.microsoft.com/office/2006/metadata/properties" ma:root="true" ma:fieldsID="aaebc2445fdacb890806836e0d1c7b18" ns2:_="" ns3:_="">
    <xsd:import namespace="d2ac282c-ca65-4dd4-8d74-97e97485d4fc"/>
    <xsd:import namespace="0f0d7073-3e63-4ef0-a2a9-471b8e67a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282c-ca65-4dd4-8d74-97e97485d4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8d3d8e85-2482-46d5-b3d8-06dc7993f3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d7073-3e63-4ef0-a2a9-471b8e67a6a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86a81e9-713d-442d-8399-a36ebf96fde0}" ma:internalName="TaxCatchAll" ma:showField="CatchAllData" ma:web="0f0d7073-3e63-4ef0-a2a9-471b8e67a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2ac282c-ca65-4dd4-8d74-97e97485d4fc">
      <Terms xmlns="http://schemas.microsoft.com/office/infopath/2007/PartnerControls"/>
    </lcf76f155ced4ddcb4097134ff3c332f>
    <TaxCatchAll xmlns="0f0d7073-3e63-4ef0-a2a9-471b8e67a6a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0EDB50-0B0F-4156-9471-546132D899C2}"/>
</file>

<file path=customXml/itemProps2.xml><?xml version="1.0" encoding="utf-8"?>
<ds:datastoreItem xmlns:ds="http://schemas.openxmlformats.org/officeDocument/2006/customXml" ds:itemID="{C95CCFCC-0B4F-44B2-879D-C6EC9143D6B5}"/>
</file>

<file path=customXml/itemProps3.xml><?xml version="1.0" encoding="utf-8"?>
<ds:datastoreItem xmlns:ds="http://schemas.openxmlformats.org/officeDocument/2006/customXml" ds:itemID="{EA2F717D-24AB-4FE6-B99F-E890FC1BEF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WESTRELL Therese</cp:lastModifiedBy>
  <cp:revision/>
  <dcterms:created xsi:type="dcterms:W3CDTF">2015-06-05T18:19:34Z</dcterms:created>
  <dcterms:modified xsi:type="dcterms:W3CDTF">2025-03-04T15:48:04Z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0x010100AB0E1F79EBFA054AAC36B0838FF4901B</vt:lpwstr>
  </property>
  <property fmtid="{D5CDD505-2E9C-101B-9397-08002B2CF9AE}" pid="3" name="MediaServiceImageTags">
    <vt:lpwstr/>
  </property>
</Properties>
</file>