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efsa815.sharepoint.com/sites/EUSummaryReportonAMR201/Shared Documents/WP1. EUSR on AMR/04_Deliverables WP1_2024_EUSR on AMR_calendar year 2025/Deliv. 8.1. Post-consultation version of the report/Annexes for Zenodo/"/>
    </mc:Choice>
  </mc:AlternateContent>
  <xr:revisionPtr revIDLastSave="1352" documentId="8_{31929EE6-AEB4-4D6F-989F-60866D75EF43}" xr6:coauthVersionLast="47" xr6:coauthVersionMax="47" xr10:uidLastSave="{72CAED71-48E6-4A0C-A962-10CFEE2E6079}"/>
  <bookViews>
    <workbookView xWindow="-28920" yWindow="-120" windowWidth="29040" windowHeight="16440" firstSheet="1" activeTab="6" xr2:uid="{00000000-000D-0000-FFFF-FFFF00000000}"/>
  </bookViews>
  <sheets>
    <sheet name="Table of Contents" sheetId="21" r:id="rId1"/>
    <sheet name="T. 1. Pigs E. coli" sheetId="1" r:id="rId2"/>
    <sheet name="T. 2. Calves E. coli" sheetId="2" r:id="rId3"/>
    <sheet name="T. 3. Broilers E. coli" sheetId="3" r:id="rId4"/>
    <sheet name="T. 4. Turkey E. coli" sheetId="4" r:id="rId5"/>
    <sheet name="T. 5. Pig meat BCP E. coli" sheetId="5" r:id="rId6"/>
    <sheet name="T. 6. Bovine meat BCP E. coli" sheetId="6" r:id="rId7"/>
    <sheet name="T. 7. Broiler meat BCP E. coli" sheetId="7" r:id="rId8"/>
    <sheet name="T. 8. Turkey meat BCP E. coli" sheetId="8" r:id="rId9"/>
  </sheets>
  <definedNames>
    <definedName name="_xlnm._FilterDatabase" localSheetId="1" hidden="1">'T. 1. Pigs E. coli'!$A$1:$U$1</definedName>
    <definedName name="_xlnm._FilterDatabase" localSheetId="2" hidden="1">'T. 2. Calves E. coli'!$A$1:$U$1</definedName>
    <definedName name="_xlnm._FilterDatabase" localSheetId="3" hidden="1">'T. 3. Broilers E. coli'!$A$1:$U$1</definedName>
    <definedName name="_xlnm._FilterDatabase" localSheetId="4" hidden="1">'T. 4. Turkey E. coli'!$A$1:$U$1</definedName>
    <definedName name="_xlnm._FilterDatabase" localSheetId="5" hidden="1">'T. 5. Pig meat BCP E. coli'!$A$1:$U$1</definedName>
    <definedName name="_xlnm._FilterDatabase" localSheetId="6" hidden="1">'T. 6. Bovine meat BCP E. coli'!$A$1:$U$1</definedName>
    <definedName name="_xlnm._FilterDatabase" localSheetId="7" hidden="1">'T. 7. Broiler meat BCP E. coli'!$A$1:$U$1</definedName>
    <definedName name="_xlnm._FilterDatabase" localSheetId="8" hidden="1">'T. 8. Turkey meat BCP E. coli'!$A$1:$U$1</definedName>
    <definedName name="Index">'Table of Contents'!$C$23</definedName>
    <definedName name="Sheetlist">REPLACE(GET.WORKBOOK(1),1,FIND("]",GET.WORKBOOK(1)),"")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1" l="1" a="1"/>
  <c r="B10" i="21" a="1"/>
  <c r="B2" i="21" a="1"/>
  <c r="B8" i="21" a="1"/>
  <c r="B6" i="21" a="1"/>
  <c r="B3" i="21" a="1"/>
  <c r="B4" i="21" a="1"/>
  <c r="B5" i="21" a="1"/>
  <c r="B9" i="21" a="1"/>
  <c r="B9" i="21" l="1"/>
  <c r="D9" i="21" s="1"/>
  <c r="B5" i="21"/>
  <c r="D5" i="21" s="1"/>
  <c r="B4" i="21"/>
  <c r="D4" i="21" s="1"/>
  <c r="B3" i="21"/>
  <c r="D3" i="21" s="1"/>
  <c r="B6" i="21"/>
  <c r="D6" i="21" s="1"/>
  <c r="B8" i="21"/>
  <c r="D8" i="21" s="1"/>
  <c r="B2" i="21"/>
  <c r="D2" i="21" s="1"/>
  <c r="B10" i="21"/>
  <c r="D10" i="21" s="1"/>
  <c r="B7" i="21"/>
  <c r="D7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<sst xmlns="http://schemas.openxmlformats.org/spreadsheetml/2006/main" count="3308" uniqueCount="669">
  <si>
    <t>Page Number</t>
  </si>
  <si>
    <t>Sheet Name</t>
  </si>
  <si>
    <t>Table Legend</t>
  </si>
  <si>
    <t>Link</t>
  </si>
  <si>
    <t>Country</t>
  </si>
  <si>
    <t>N</t>
  </si>
  <si>
    <t>GEN (%)</t>
  </si>
  <si>
    <t>AMK (%)</t>
  </si>
  <si>
    <t>CHL (%)</t>
  </si>
  <si>
    <t>AMP (%)</t>
  </si>
  <si>
    <t>CTX (%)</t>
  </si>
  <si>
    <t>CAZ (%)</t>
  </si>
  <si>
    <t>MEM (%)</t>
  </si>
  <si>
    <t>TGC (%)</t>
  </si>
  <si>
    <t>NAL (%)</t>
  </si>
  <si>
    <t>CIP (%)</t>
  </si>
  <si>
    <t>AZM (%)</t>
  </si>
  <si>
    <t>COL (%)</t>
  </si>
  <si>
    <t>SMX (%)</t>
  </si>
  <si>
    <t>TMP (%)</t>
  </si>
  <si>
    <t>TET (%)</t>
  </si>
  <si>
    <t>CS (%)</t>
  </si>
  <si>
    <t>MDR (%)</t>
  </si>
  <si>
    <t>Resistance to both CIP/CTX, applying ECOFFs</t>
  </si>
  <si>
    <t>Austria</t>
  </si>
  <si>
    <t>Belgium</t>
  </si>
  <si>
    <t>Bulgaria</t>
  </si>
  <si>
    <t>Croatia</t>
  </si>
  <si>
    <t>Cyprus</t>
  </si>
  <si>
    <t>Czechia</t>
  </si>
  <si>
    <t>Denmark</t>
  </si>
  <si>
    <t>Estonia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</si>
  <si>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</si>
  <si>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</si>
  <si>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</si>
  <si>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</si>
  <si>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</si>
  <si>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</si>
  <si>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</si>
  <si>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</si>
  <si>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</si>
  <si>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</si>
  <si>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</si>
  <si>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</si>
  <si>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</si>
  <si>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</si>
  <si>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Slovakia</t>
  </si>
  <si>
    <t>Slovenia</t>
  </si>
  <si>
    <t>Spain</t>
  </si>
  <si>
    <t>Iceland</t>
  </si>
  <si>
    <t>MS</t>
  </si>
  <si>
    <t>Member State</t>
  </si>
  <si>
    <t>non-MS</t>
  </si>
  <si>
    <t>non Member State</t>
  </si>
  <si>
    <t>Number of isolates</t>
  </si>
  <si>
    <t>AMP</t>
  </si>
  <si>
    <t>Ampicillin</t>
  </si>
  <si>
    <t>AMK</t>
  </si>
  <si>
    <t>GEN</t>
  </si>
  <si>
    <t>CHL</t>
  </si>
  <si>
    <t>Gentamicin</t>
  </si>
  <si>
    <t>Amikacin</t>
  </si>
  <si>
    <t>Chloramphenicol</t>
  </si>
  <si>
    <t>14.3</t>
  </si>
  <si>
    <t>85.7</t>
  </si>
  <si>
    <t>11.1</t>
  </si>
  <si>
    <t>28.6</t>
  </si>
  <si>
    <t>7.1</t>
  </si>
  <si>
    <t>42.9</t>
  </si>
  <si>
    <t>9.7</t>
  </si>
  <si>
    <t>6.5</t>
  </si>
  <si>
    <t>19.4</t>
  </si>
  <si>
    <t>33.3</t>
  </si>
  <si>
    <t>66.7</t>
  </si>
  <si>
    <t>57.1</t>
  </si>
  <si>
    <t>5.3</t>
  </si>
  <si>
    <t>3.8</t>
  </si>
  <si>
    <t>21.1</t>
  </si>
  <si>
    <t>7.7</t>
  </si>
  <si>
    <t>4.8</t>
  </si>
  <si>
    <t>5.9</t>
  </si>
  <si>
    <t>17.6</t>
  </si>
  <si>
    <t>82.4</t>
  </si>
  <si>
    <t>11.8</t>
  </si>
  <si>
    <t>23.5</t>
  </si>
  <si>
    <t>41.2</t>
  </si>
  <si>
    <t>22.2</t>
  </si>
  <si>
    <t>4.2</t>
  </si>
  <si>
    <t>16.7</t>
  </si>
  <si>
    <t>18.8</t>
  </si>
  <si>
    <t>6.2</t>
  </si>
  <si>
    <t>12.5</t>
  </si>
  <si>
    <t>15.8</t>
  </si>
  <si>
    <t>8.3</t>
  </si>
  <si>
    <t>44.4</t>
  </si>
  <si>
    <t>8.8</t>
  </si>
  <si>
    <t>0.6</t>
  </si>
  <si>
    <t>29.4</t>
  </si>
  <si>
    <t>68.8</t>
  </si>
  <si>
    <t>87.5</t>
  </si>
  <si>
    <t>14.8</t>
  </si>
  <si>
    <t>Resistance to both CIP/CTX. applying ECOFFs</t>
  </si>
  <si>
    <t>9.1</t>
  </si>
  <si>
    <t>81.8</t>
  </si>
  <si>
    <t>1.8</t>
  </si>
  <si>
    <t>3.6</t>
  </si>
  <si>
    <t>18.2</t>
  </si>
  <si>
    <t>4.7</t>
  </si>
  <si>
    <t>30.2</t>
  </si>
  <si>
    <t>4.5</t>
  </si>
  <si>
    <t>3.7</t>
  </si>
  <si>
    <t>7.4</t>
  </si>
  <si>
    <t>2.3</t>
  </si>
  <si>
    <t>39.5</t>
  </si>
  <si>
    <t>16.3</t>
  </si>
  <si>
    <t>47.1</t>
  </si>
  <si>
    <t>1.3</t>
  </si>
  <si>
    <t>0.3</t>
  </si>
  <si>
    <t>3.5</t>
  </si>
  <si>
    <t>0.5</t>
  </si>
  <si>
    <t>43.8</t>
  </si>
  <si>
    <t>22.7</t>
  </si>
  <si>
    <t>20.8</t>
  </si>
  <si>
    <t>29.7</t>
  </si>
  <si>
    <t>13.7</t>
  </si>
  <si>
    <t>15.9</t>
  </si>
  <si>
    <t>52.1</t>
  </si>
  <si>
    <t>11.5</t>
  </si>
  <si>
    <t>19.2</t>
  </si>
  <si>
    <t>76.9</t>
  </si>
  <si>
    <t>9.9</t>
  </si>
  <si>
    <t>4.9</t>
  </si>
  <si>
    <t>13.1</t>
  </si>
  <si>
    <t>1.2</t>
  </si>
  <si>
    <t>15.5</t>
  </si>
  <si>
    <t>Resistance to both CIP/CTX, applying CBPs</t>
  </si>
  <si>
    <t>Finland</t>
  </si>
  <si>
    <t>Sweden</t>
  </si>
  <si>
    <t>Montenegro</t>
  </si>
  <si>
    <t>Norway</t>
  </si>
  <si>
    <t>Republic of North Macedonia</t>
  </si>
  <si>
    <t>Switzerland</t>
  </si>
  <si>
    <t>1.4</t>
  </si>
  <si>
    <t>5.6</t>
  </si>
  <si>
    <t>46.5</t>
  </si>
  <si>
    <t>18.6</t>
  </si>
  <si>
    <t>66.3</t>
  </si>
  <si>
    <t>15.1</t>
  </si>
  <si>
    <t>45.3</t>
  </si>
  <si>
    <t>36.0</t>
  </si>
  <si>
    <t>6.3</t>
  </si>
  <si>
    <t>32.5</t>
  </si>
  <si>
    <t>38.8</t>
  </si>
  <si>
    <t>45.0</t>
  </si>
  <si>
    <t>40.4</t>
  </si>
  <si>
    <t>6.4</t>
  </si>
  <si>
    <t>24.6</t>
  </si>
  <si>
    <t>31.6</t>
  </si>
  <si>
    <t>26.9</t>
  </si>
  <si>
    <t>16.1</t>
  </si>
  <si>
    <t>56.5</t>
  </si>
  <si>
    <t>2.6</t>
  </si>
  <si>
    <t>0.4</t>
  </si>
  <si>
    <t>0.9</t>
  </si>
  <si>
    <t>28.3</t>
  </si>
  <si>
    <t>17.0</t>
  </si>
  <si>
    <t>37.0</t>
  </si>
  <si>
    <t>2.4</t>
  </si>
  <si>
    <t>47.6</t>
  </si>
  <si>
    <t>54.1</t>
  </si>
  <si>
    <t>4.1</t>
  </si>
  <si>
    <t>28.2</t>
  </si>
  <si>
    <t>14.7</t>
  </si>
  <si>
    <t>25.9</t>
  </si>
  <si>
    <t>43.5</t>
  </si>
  <si>
    <t>45.9</t>
  </si>
  <si>
    <t>15.3</t>
  </si>
  <si>
    <t>42.4</t>
  </si>
  <si>
    <t>9.4</t>
  </si>
  <si>
    <t>16.5</t>
  </si>
  <si>
    <t>27.1</t>
  </si>
  <si>
    <t>44.1</t>
  </si>
  <si>
    <t>44.7</t>
  </si>
  <si>
    <t>12.9</t>
  </si>
  <si>
    <t>3.9</t>
  </si>
  <si>
    <t>3.4</t>
  </si>
  <si>
    <t>2.2</t>
  </si>
  <si>
    <t>19.1</t>
  </si>
  <si>
    <t>13.5</t>
  </si>
  <si>
    <t>69.7</t>
  </si>
  <si>
    <t>1.7</t>
  </si>
  <si>
    <t>11.2</t>
  </si>
  <si>
    <t>70.6</t>
  </si>
  <si>
    <t>58.2</t>
  </si>
  <si>
    <t>32.9</t>
  </si>
  <si>
    <t>77.6</t>
  </si>
  <si>
    <t>67.6</t>
  </si>
  <si>
    <t>64.7</t>
  </si>
  <si>
    <t>55.3</t>
  </si>
  <si>
    <t>67.1</t>
  </si>
  <si>
    <t>63.5</t>
  </si>
  <si>
    <t>10.6</t>
  </si>
  <si>
    <t>12.4</t>
  </si>
  <si>
    <t>2.9</t>
  </si>
  <si>
    <t>28.8</t>
  </si>
  <si>
    <t>53.5</t>
  </si>
  <si>
    <t>22.9</t>
  </si>
  <si>
    <t>17.1</t>
  </si>
  <si>
    <t>62.4</t>
  </si>
  <si>
    <t>50.6</t>
  </si>
  <si>
    <t>0.1</t>
  </si>
  <si>
    <t>1.5</t>
  </si>
  <si>
    <t>1.1</t>
  </si>
  <si>
    <t>2.0</t>
  </si>
  <si>
    <t>23.7</t>
  </si>
  <si>
    <t>43.2</t>
  </si>
  <si>
    <t>5.5</t>
  </si>
  <si>
    <t>4.0</t>
  </si>
  <si>
    <t>0.2</t>
  </si>
  <si>
    <t>37.7</t>
  </si>
  <si>
    <t>1.9</t>
  </si>
  <si>
    <t>3.3</t>
  </si>
  <si>
    <t>30.5</t>
  </si>
  <si>
    <t>22.6</t>
  </si>
  <si>
    <t>31.3</t>
  </si>
  <si>
    <t>10.9</t>
  </si>
  <si>
    <t>38.1</t>
  </si>
  <si>
    <t>18.0</t>
  </si>
  <si>
    <t>20.3</t>
  </si>
  <si>
    <t>14.0</t>
  </si>
  <si>
    <t>33.1</t>
  </si>
  <si>
    <t>57.0</t>
  </si>
  <si>
    <t>5.7</t>
  </si>
  <si>
    <t>6.8</t>
  </si>
  <si>
    <t>34.7</t>
  </si>
  <si>
    <t>30.1</t>
  </si>
  <si>
    <t>29.0</t>
  </si>
  <si>
    <t>46.6</t>
  </si>
  <si>
    <t>61.2</t>
  </si>
  <si>
    <t>21.2</t>
  </si>
  <si>
    <t>31.8</t>
  </si>
  <si>
    <t>56.3</t>
  </si>
  <si>
    <t>21.9</t>
  </si>
  <si>
    <t>46.9</t>
  </si>
  <si>
    <t>71.9</t>
  </si>
  <si>
    <t>3.1</t>
  </si>
  <si>
    <t>43.3</t>
  </si>
  <si>
    <t>7.8</t>
  </si>
  <si>
    <t>26.7</t>
  </si>
  <si>
    <t>18.3</t>
  </si>
  <si>
    <t>36.1</t>
  </si>
  <si>
    <t>40.6</t>
  </si>
  <si>
    <t>23.3</t>
  </si>
  <si>
    <t>7.6</t>
  </si>
  <si>
    <t>33.7</t>
  </si>
  <si>
    <t>39.0</t>
  </si>
  <si>
    <t>30.8</t>
  </si>
  <si>
    <t>34.9</t>
  </si>
  <si>
    <t>48.3</t>
  </si>
  <si>
    <t>31.4</t>
  </si>
  <si>
    <t>24.5</t>
  </si>
  <si>
    <t>23.2</t>
  </si>
  <si>
    <t>16.6</t>
  </si>
  <si>
    <t>35.8</t>
  </si>
  <si>
    <t>54.3</t>
  </si>
  <si>
    <t>19.9</t>
  </si>
  <si>
    <t>69.4</t>
  </si>
  <si>
    <t>1.0</t>
  </si>
  <si>
    <t>2.1</t>
  </si>
  <si>
    <t>27.7</t>
  </si>
  <si>
    <t>22.0</t>
  </si>
  <si>
    <t>41.9</t>
  </si>
  <si>
    <t>25.1</t>
  </si>
  <si>
    <t>4.6</t>
  </si>
  <si>
    <t>29.2</t>
  </si>
  <si>
    <t>5.1</t>
  </si>
  <si>
    <t>21.5</t>
  </si>
  <si>
    <t>16.4</t>
  </si>
  <si>
    <t>26.2</t>
  </si>
  <si>
    <t>54.9</t>
  </si>
  <si>
    <t>19.0</t>
  </si>
  <si>
    <t>69.1</t>
  </si>
  <si>
    <t>41.8</t>
  </si>
  <si>
    <t>30.6</t>
  </si>
  <si>
    <t>35.9</t>
  </si>
  <si>
    <t>8.2</t>
  </si>
  <si>
    <t>36.5</t>
  </si>
  <si>
    <t>38.2</t>
  </si>
  <si>
    <t>71.8</t>
  </si>
  <si>
    <t>72.9</t>
  </si>
  <si>
    <t>7.3</t>
  </si>
  <si>
    <t>35.3</t>
  </si>
  <si>
    <t>2.7</t>
  </si>
  <si>
    <t>0.7</t>
  </si>
  <si>
    <t>24.0</t>
  </si>
  <si>
    <t>30.7</t>
  </si>
  <si>
    <t>48.0</t>
  </si>
  <si>
    <t>6.0</t>
  </si>
  <si>
    <t>34.0</t>
  </si>
  <si>
    <t>8.0</t>
  </si>
  <si>
    <t>35.0</t>
  </si>
  <si>
    <t>21.0</t>
  </si>
  <si>
    <t>42.0</t>
  </si>
  <si>
    <t>25.0</t>
  </si>
  <si>
    <t>8.9</t>
  </si>
  <si>
    <t>20.2</t>
  </si>
  <si>
    <t>14.9</t>
  </si>
  <si>
    <t>36.3</t>
  </si>
  <si>
    <t>51.2</t>
  </si>
  <si>
    <t>20.7</t>
  </si>
  <si>
    <t>32.7</t>
  </si>
  <si>
    <t>45.2</t>
  </si>
  <si>
    <t>66.8</t>
  </si>
  <si>
    <t>26.0</t>
  </si>
  <si>
    <t>29.3</t>
  </si>
  <si>
    <t>52.7</t>
  </si>
  <si>
    <t>18.1</t>
  </si>
  <si>
    <t>58.8</t>
  </si>
  <si>
    <t>9.0</t>
  </si>
  <si>
    <t>44.8</t>
  </si>
  <si>
    <t>34.4</t>
  </si>
  <si>
    <t>48.4</t>
  </si>
  <si>
    <t>44.3</t>
  </si>
  <si>
    <t>29.1</t>
  </si>
  <si>
    <t>64.3</t>
  </si>
  <si>
    <t>21.4</t>
  </si>
  <si>
    <t>46.2</t>
  </si>
  <si>
    <t>21.8</t>
  </si>
  <si>
    <t>32.4</t>
  </si>
  <si>
    <t>59.4</t>
  </si>
  <si>
    <t>17.8</t>
  </si>
  <si>
    <t>17.2</t>
  </si>
  <si>
    <t>12.1</t>
  </si>
  <si>
    <t>73.0</t>
  </si>
  <si>
    <t>13.8</t>
  </si>
  <si>
    <t>39.4</t>
  </si>
  <si>
    <t>35.1</t>
  </si>
  <si>
    <t>27.9</t>
  </si>
  <si>
    <t>39.6</t>
  </si>
  <si>
    <t>33.6</t>
  </si>
  <si>
    <t>10.3</t>
  </si>
  <si>
    <t>35.6</t>
  </si>
  <si>
    <t>0.8</t>
  </si>
  <si>
    <t>8.1</t>
  </si>
  <si>
    <t>34.8</t>
  </si>
  <si>
    <t>41.5</t>
  </si>
  <si>
    <t>41.3</t>
  </si>
  <si>
    <t>34.1</t>
  </si>
  <si>
    <t>43.9</t>
  </si>
  <si>
    <t>61.0</t>
  </si>
  <si>
    <t>36.6</t>
  </si>
  <si>
    <t>5.8</t>
  </si>
  <si>
    <t>84.5</t>
  </si>
  <si>
    <t>3.0</t>
  </si>
  <si>
    <t>38.5</t>
  </si>
  <si>
    <t>42.3</t>
  </si>
  <si>
    <t>17.4</t>
  </si>
  <si>
    <t>27.4</t>
  </si>
  <si>
    <t>13.9</t>
  </si>
  <si>
    <t>57.2</t>
  </si>
  <si>
    <t>13.4</t>
  </si>
  <si>
    <t>14.4</t>
  </si>
  <si>
    <t>10.1</t>
  </si>
  <si>
    <t>1.6</t>
  </si>
  <si>
    <t>25.5</t>
  </si>
  <si>
    <t>43.6</t>
  </si>
  <si>
    <t>30.4</t>
  </si>
  <si>
    <t>23.8</t>
  </si>
  <si>
    <t>2.8</t>
  </si>
  <si>
    <t>6.6</t>
  </si>
  <si>
    <t>13.3</t>
  </si>
  <si>
    <t>42.7</t>
  </si>
  <si>
    <t>17.5</t>
  </si>
  <si>
    <t>37.4</t>
  </si>
  <si>
    <t>47.4</t>
  </si>
  <si>
    <t>12.8</t>
  </si>
  <si>
    <t>7.0</t>
  </si>
  <si>
    <t>9.3</t>
  </si>
  <si>
    <t>62.8</t>
  </si>
  <si>
    <t>11.9</t>
  </si>
  <si>
    <t>81.5</t>
  </si>
  <si>
    <t>3.2</t>
  </si>
  <si>
    <t>20.5</t>
  </si>
  <si>
    <t>42.6</t>
  </si>
  <si>
    <t>53.2</t>
  </si>
  <si>
    <t>61.1</t>
  </si>
  <si>
    <t>36.8</t>
  </si>
  <si>
    <t>6.9</t>
  </si>
  <si>
    <t>38.3</t>
  </si>
  <si>
    <t>66.5</t>
  </si>
  <si>
    <t>14.1</t>
  </si>
  <si>
    <t>72.4</t>
  </si>
  <si>
    <t>25.8</t>
  </si>
  <si>
    <t>4.3</t>
  </si>
  <si>
    <t>26.4</t>
  </si>
  <si>
    <t>43.1</t>
  </si>
  <si>
    <t>54.8</t>
  </si>
  <si>
    <t>28.1</t>
  </si>
  <si>
    <t>22.8</t>
  </si>
  <si>
    <t>74.9</t>
  </si>
  <si>
    <t>64.1</t>
  </si>
  <si>
    <t>58.5</t>
  </si>
  <si>
    <t>28.0</t>
  </si>
  <si>
    <t>5.0</t>
  </si>
  <si>
    <t>15.0</t>
  </si>
  <si>
    <t>9.5</t>
  </si>
  <si>
    <t>26.3</t>
  </si>
  <si>
    <t>26.8</t>
  </si>
  <si>
    <t>24.3</t>
  </si>
  <si>
    <t>8.7</t>
  </si>
  <si>
    <t>19.3</t>
  </si>
  <si>
    <t>59.0</t>
  </si>
  <si>
    <t>31.0</t>
  </si>
  <si>
    <t>46.0</t>
  </si>
  <si>
    <t>39.7</t>
  </si>
  <si>
    <t>41.4</t>
  </si>
  <si>
    <t>23.6</t>
  </si>
  <si>
    <t>79.2</t>
  </si>
  <si>
    <t>48.2</t>
  </si>
  <si>
    <t>88.2</t>
  </si>
  <si>
    <t>17.9</t>
  </si>
  <si>
    <t>50.3</t>
  </si>
  <si>
    <t>51.0</t>
  </si>
  <si>
    <t>5.4</t>
  </si>
  <si>
    <t>37.6</t>
  </si>
  <si>
    <t>23.4</t>
  </si>
  <si>
    <t>37.1</t>
  </si>
  <si>
    <t>43.4</t>
  </si>
  <si>
    <t>54.5</t>
  </si>
  <si>
    <t>22.4</t>
  </si>
  <si>
    <t>25.3</t>
  </si>
  <si>
    <t>27.6</t>
  </si>
  <si>
    <t>55.0</t>
  </si>
  <si>
    <t>63.0</t>
  </si>
  <si>
    <t>11.0</t>
  </si>
  <si>
    <t>52.8</t>
  </si>
  <si>
    <t>55.9</t>
  </si>
  <si>
    <t>29.9</t>
  </si>
  <si>
    <t>62.9</t>
  </si>
  <si>
    <t>49.4</t>
  </si>
  <si>
    <t>52.9</t>
  </si>
  <si>
    <t>57.6</t>
  </si>
  <si>
    <t>65.9</t>
  </si>
  <si>
    <t>51.4</t>
  </si>
  <si>
    <t>16.2</t>
  </si>
  <si>
    <t>51.1</t>
  </si>
  <si>
    <t>15.6</t>
  </si>
  <si>
    <t>34.5</t>
  </si>
  <si>
    <t>30.3</t>
  </si>
  <si>
    <t>35.5</t>
  </si>
  <si>
    <t>27.0</t>
  </si>
  <si>
    <t>33.0</t>
  </si>
  <si>
    <t>59.2</t>
  </si>
  <si>
    <t>23.9</t>
  </si>
  <si>
    <t>9.8</t>
  </si>
  <si>
    <t>15.2</t>
  </si>
  <si>
    <t>52.2</t>
  </si>
  <si>
    <t>18.5</t>
  </si>
  <si>
    <t>29.5</t>
  </si>
  <si>
    <t>55.7</t>
  </si>
  <si>
    <t>7.5</t>
  </si>
  <si>
    <t>16.8</t>
  </si>
  <si>
    <t>28.7</t>
  </si>
  <si>
    <t>21.3</t>
  </si>
  <si>
    <t>17.7</t>
  </si>
  <si>
    <t>88.9</t>
  </si>
  <si>
    <t>78.6</t>
  </si>
  <si>
    <t>4.4</t>
  </si>
  <si>
    <t>7.9</t>
  </si>
  <si>
    <t>86.8</t>
  </si>
  <si>
    <t>87.2</t>
  </si>
  <si>
    <t>47.2</t>
  </si>
  <si>
    <t>75.0</t>
  </si>
  <si>
    <t>60.7</t>
  </si>
  <si>
    <t>39.3</t>
  </si>
  <si>
    <t>27.8</t>
  </si>
  <si>
    <t>11.7</t>
  </si>
  <si>
    <t>37.8</t>
  </si>
  <si>
    <t>48.6</t>
  </si>
  <si>
    <t>83.3</t>
  </si>
  <si>
    <t>12.0</t>
  </si>
  <si>
    <t>58.6</t>
  </si>
  <si>
    <t>42.1</t>
  </si>
  <si>
    <t>11.4</t>
  </si>
  <si>
    <t>48.1</t>
  </si>
  <si>
    <t>Median (MSs)</t>
  </si>
  <si>
    <t>Total (7 MSs + XI)</t>
  </si>
  <si>
    <t>Median (MSs, XI, and non-MSs)</t>
  </si>
  <si>
    <t>Total (5 MSs + XI)</t>
  </si>
  <si>
    <t>Median (MSs + XI)</t>
  </si>
  <si>
    <t>Total (13 MSs)</t>
  </si>
  <si>
    <t>Total (5 MSs, XI, and 1 non-MSs)</t>
  </si>
  <si>
    <t>Total (11 MSs)</t>
  </si>
  <si>
    <t>Median (MSs and non-MSs)</t>
  </si>
  <si>
    <t>Total (11 MSs and 2 non-MSs)</t>
  </si>
  <si>
    <t>0.0</t>
  </si>
  <si>
    <t>10.0</t>
  </si>
  <si>
    <t>40.0</t>
  </si>
  <si>
    <t>20.0</t>
  </si>
  <si>
    <t>50.0</t>
  </si>
  <si>
    <t>60.0</t>
  </si>
  <si>
    <t>80.0</t>
  </si>
  <si>
    <t>84.0</t>
  </si>
  <si>
    <t>90.0</t>
  </si>
  <si>
    <t>30.0</t>
  </si>
  <si>
    <t>Total (5 non-MSs)</t>
  </si>
  <si>
    <t>69.3</t>
  </si>
  <si>
    <t>Total (2 non-MSs)</t>
  </si>
  <si>
    <t>7.2</t>
  </si>
  <si>
    <t>Total (4 non-MSs)</t>
  </si>
  <si>
    <t>Total (1 non-MSs)</t>
  </si>
  <si>
    <t>23.1</t>
  </si>
  <si>
    <t>73.1</t>
  </si>
  <si>
    <t>Total (7 MSs, XI, and 2 non-MSs)</t>
  </si>
  <si>
    <t>CTX</t>
  </si>
  <si>
    <t>CAZ</t>
  </si>
  <si>
    <t>MEM</t>
  </si>
  <si>
    <t>TGC</t>
  </si>
  <si>
    <t>NAL</t>
  </si>
  <si>
    <t>CIP</t>
  </si>
  <si>
    <t>AZM</t>
  </si>
  <si>
    <t>COL</t>
  </si>
  <si>
    <t>SMX</t>
  </si>
  <si>
    <t>TMP</t>
  </si>
  <si>
    <t>TET</t>
  </si>
  <si>
    <t>CS</t>
  </si>
  <si>
    <t>MDR</t>
  </si>
  <si>
    <t>ECOFF</t>
  </si>
  <si>
    <t>CBP</t>
  </si>
  <si>
    <t>Cefotaxime</t>
  </si>
  <si>
    <t>Ceftazidime</t>
  </si>
  <si>
    <t>Meropenem</t>
  </si>
  <si>
    <t>Tigecycline</t>
  </si>
  <si>
    <t>Nalidixic acid</t>
  </si>
  <si>
    <t>Ciprofloxacin</t>
  </si>
  <si>
    <t>Azithromycin</t>
  </si>
  <si>
    <t>Colistin</t>
  </si>
  <si>
    <t>Sulfonamides</t>
  </si>
  <si>
    <t>Trimethoprim</t>
  </si>
  <si>
    <t>Tetracycline</t>
  </si>
  <si>
    <t>Complete susceptibility (susceptible to all tested substances)</t>
  </si>
  <si>
    <t>Multi-drug resistant</t>
  </si>
  <si>
    <t>Epidemiological cut-off value</t>
  </si>
  <si>
    <t>Clinical breakpoints</t>
  </si>
  <si>
    <r>
      <t>Occurrence of resistance (%) to selected antimicrobials, using harmonised ECOFFs, complete susceptibility and multiresistance to all antimicrobials tested and co-resistance to (fluoro)quinolones and third-generation cephalosporins, in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i/>
        <sz val="11"/>
        <color theme="1"/>
        <rFont val="Calibri"/>
        <family val="2"/>
        <scheme val="minor"/>
      </rPr>
      <t>Escherichia coli</t>
    </r>
    <r>
      <rPr>
        <b/>
        <sz val="11"/>
        <color theme="1"/>
        <rFont val="Calibri"/>
        <family val="2"/>
        <scheme val="minor"/>
      </rPr>
      <t xml:space="preserve"> from imported fresh meat from pigs sampled at Border Control Posts</t>
    </r>
    <r>
      <rPr>
        <sz val="11"/>
        <color theme="1"/>
        <rFont val="Calibri"/>
        <family val="2"/>
        <scheme val="minor"/>
      </rPr>
      <t>, 5 MSs, XI, and 1 non-MS, 2023</t>
    </r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</si>
  <si>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i/>
        <sz val="11"/>
        <color theme="1"/>
        <rFont val="Calibri"/>
        <family val="2"/>
        <scheme val="minor"/>
      </rPr>
      <t>Escherichia coli</t>
    </r>
    <r>
      <rPr>
        <b/>
        <sz val="11"/>
        <color theme="1"/>
        <rFont val="Calibri"/>
        <family val="2"/>
        <scheme val="minor"/>
      </rPr>
      <t xml:space="preserve"> from imported fresh meat from bovines sampled at Border Control Posts</t>
    </r>
    <r>
      <rPr>
        <sz val="11"/>
        <color theme="1"/>
        <rFont val="Calibri"/>
        <family val="2"/>
        <scheme val="minor"/>
      </rPr>
      <t>, 7 MSs, XI, and 2 non-MS, 2023</t>
    </r>
  </si>
  <si>
    <t>Abbreviations</t>
  </si>
  <si>
    <t>Descriptions</t>
  </si>
  <si>
    <t>88.0</t>
  </si>
  <si>
    <t>86.9</t>
  </si>
  <si>
    <t>8.6</t>
  </si>
  <si>
    <t>40.8</t>
  </si>
  <si>
    <t>67.5</t>
  </si>
  <si>
    <t>39.1</t>
  </si>
  <si>
    <t>33.5</t>
  </si>
  <si>
    <t>10.2</t>
  </si>
  <si>
    <t>40.7</t>
  </si>
  <si>
    <t>33.2</t>
  </si>
  <si>
    <t>35.7</t>
  </si>
  <si>
    <t>81.2</t>
  </si>
  <si>
    <t>92.9</t>
  </si>
  <si>
    <t>84.7</t>
  </si>
  <si>
    <t>82.5</t>
  </si>
  <si>
    <t>68.3</t>
  </si>
  <si>
    <t>58.3</t>
  </si>
  <si>
    <t>69.2</t>
  </si>
  <si>
    <t>74.2</t>
  </si>
  <si>
    <t>78.7</t>
  </si>
  <si>
    <t>80.3</t>
  </si>
  <si>
    <t>10.4</t>
  </si>
  <si>
    <t>64.2</t>
  </si>
  <si>
    <t>11.6</t>
  </si>
  <si>
    <t>10.5</t>
  </si>
  <si>
    <t>13.2</t>
  </si>
  <si>
    <t>32.3</t>
  </si>
  <si>
    <t>65.7</t>
  </si>
  <si>
    <t>44.5</t>
  </si>
  <si>
    <t>79.4</t>
  </si>
  <si>
    <t>52.4</t>
  </si>
  <si>
    <t>24.1</t>
  </si>
  <si>
    <t>20.6</t>
  </si>
  <si>
    <t>11.3</t>
  </si>
  <si>
    <t>86.0</t>
  </si>
  <si>
    <t>82.0</t>
  </si>
  <si>
    <t>64.0</t>
  </si>
  <si>
    <t>6.1</t>
  </si>
  <si>
    <t>77.1</t>
  </si>
  <si>
    <t>51.8</t>
  </si>
  <si>
    <t>19.6</t>
  </si>
  <si>
    <t>16.9</t>
  </si>
  <si>
    <t>46.3</t>
  </si>
  <si>
    <t>82.9</t>
  </si>
  <si>
    <t>89.7</t>
  </si>
  <si>
    <t>63.4</t>
  </si>
  <si>
    <t>68.6</t>
  </si>
  <si>
    <t>66.1</t>
  </si>
  <si>
    <t>60.3</t>
  </si>
  <si>
    <t>57.5</t>
  </si>
  <si>
    <t>86.5</t>
  </si>
  <si>
    <t>83.5</t>
  </si>
  <si>
    <t>90.6</t>
  </si>
  <si>
    <t>United Kingdom (Northern Ireland)</t>
  </si>
  <si>
    <t>46.8</t>
  </si>
  <si>
    <t>84.8</t>
  </si>
  <si>
    <t>9.2</t>
  </si>
  <si>
    <t>48.7</t>
  </si>
  <si>
    <t>12.3</t>
  </si>
  <si>
    <t>72.6</t>
  </si>
  <si>
    <t>38.0</t>
  </si>
  <si>
    <t>26.1</t>
  </si>
  <si>
    <t>32.1</t>
  </si>
  <si>
    <t>20.4</t>
  </si>
  <si>
    <t>40.2</t>
  </si>
  <si>
    <t>48.8</t>
  </si>
  <si>
    <t>19.5</t>
  </si>
  <si>
    <t>31.7</t>
  </si>
  <si>
    <t>41.7</t>
  </si>
  <si>
    <t>60.5</t>
  </si>
  <si>
    <t>73.3</t>
  </si>
  <si>
    <t>25.7</t>
  </si>
  <si>
    <t>42.2</t>
  </si>
  <si>
    <t>79.7</t>
  </si>
  <si>
    <t>74.0</t>
  </si>
  <si>
    <t>62.5</t>
  </si>
  <si>
    <t>74.1</t>
  </si>
  <si>
    <t>Total (12 MSs)</t>
  </si>
  <si>
    <t>12.7</t>
  </si>
  <si>
    <t>40.5</t>
  </si>
  <si>
    <t>73.5</t>
  </si>
  <si>
    <t>26.5</t>
  </si>
  <si>
    <t>35.2</t>
  </si>
  <si>
    <t>29.6</t>
  </si>
  <si>
    <t>32.0</t>
  </si>
  <si>
    <t>10.8</t>
  </si>
  <si>
    <t>81.1</t>
  </si>
  <si>
    <t>70.3</t>
  </si>
  <si>
    <t>58.0</t>
  </si>
  <si>
    <t>Total (4 MSs)</t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</si>
  <si>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sz val="11"/>
        <color theme="1"/>
        <rFont val="Calibri"/>
        <family val="2"/>
        <scheme val="minor"/>
      </rPr>
      <t>Escherichia coli from fattening turkeys</t>
    </r>
    <r>
      <rPr>
        <sz val="11"/>
        <color theme="1"/>
        <rFont val="Calibri"/>
        <family val="2"/>
        <scheme val="minor"/>
      </rPr>
      <t>, 12 MSs, 2024</t>
    </r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</si>
  <si>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i/>
        <sz val="11"/>
        <color theme="1"/>
        <rFont val="Calibri"/>
        <family val="2"/>
        <scheme val="minor"/>
      </rPr>
      <t>Escherichia coli</t>
    </r>
    <r>
      <rPr>
        <b/>
        <sz val="11"/>
        <color theme="1"/>
        <rFont val="Calibri"/>
        <family val="2"/>
        <scheme val="minor"/>
      </rPr>
      <t xml:space="preserve"> from imported fresh meat from broilers sampled at Border Control Posts</t>
    </r>
    <r>
      <rPr>
        <sz val="11"/>
        <color theme="1"/>
        <rFont val="Calibri"/>
        <family val="2"/>
        <scheme val="minor"/>
      </rPr>
      <t>, 12 MSs and XI, 2024</t>
    </r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</si>
  <si>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i/>
        <sz val="11"/>
        <color theme="1"/>
        <rFont val="Calibri"/>
        <family val="2"/>
        <scheme val="minor"/>
      </rPr>
      <t>Escherichia coli</t>
    </r>
    <r>
      <rPr>
        <b/>
        <sz val="11"/>
        <color theme="1"/>
        <rFont val="Calibri"/>
        <family val="2"/>
        <scheme val="minor"/>
      </rPr>
      <t xml:space="preserve"> from imported fresh meat from turkeys sampled at Border Control Posts</t>
    </r>
    <r>
      <rPr>
        <sz val="11"/>
        <color theme="1"/>
        <rFont val="Calibri"/>
        <family val="2"/>
        <scheme val="minor"/>
      </rPr>
      <t>, 4 MSs, 2024</t>
    </r>
  </si>
  <si>
    <t>I did not change the order of the tables from last year. OK? /ON</t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</si>
  <si>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sz val="11"/>
        <color theme="1"/>
        <rFont val="Calibri"/>
        <family val="2"/>
        <scheme val="minor"/>
      </rPr>
      <t>Escherichia coli from  bovines under one year of age</t>
    </r>
    <r>
      <rPr>
        <sz val="11"/>
        <color theme="1"/>
        <rFont val="Calibri"/>
        <family val="2"/>
        <scheme val="minor"/>
      </rPr>
      <t>, 11 MSs and 2 non-MS, 2023</t>
    </r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</si>
  <si>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i/>
        <sz val="11"/>
        <color theme="1"/>
        <rFont val="Calibri"/>
        <family val="2"/>
        <scheme val="minor"/>
      </rPr>
      <t>Escherichia coli</t>
    </r>
    <r>
      <rPr>
        <b/>
        <sz val="11"/>
        <color theme="1"/>
        <rFont val="Calibri"/>
        <family val="2"/>
        <scheme val="minor"/>
      </rPr>
      <t xml:space="preserve"> from fattening pigs</t>
    </r>
    <r>
      <rPr>
        <sz val="11"/>
        <color theme="1"/>
        <rFont val="Calibri"/>
        <family val="2"/>
        <scheme val="minor"/>
      </rPr>
      <t>, 27 MSs, United Kingdom (Northern Ireland), and 5 non-MS  in EU, 2023</t>
    </r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</si>
  <si>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i/>
        <sz val="11"/>
        <color theme="1"/>
        <rFont val="Calibri"/>
        <family val="2"/>
        <scheme val="minor"/>
      </rPr>
      <t>Escherichia coli</t>
    </r>
    <r>
      <rPr>
        <b/>
        <sz val="11"/>
        <color theme="1"/>
        <rFont val="Calibri"/>
        <family val="2"/>
        <scheme val="minor"/>
      </rPr>
      <t xml:space="preserve"> from broilers</t>
    </r>
    <r>
      <rPr>
        <sz val="11"/>
        <color theme="1"/>
        <rFont val="Calibri"/>
        <family val="2"/>
        <scheme val="minor"/>
      </rPr>
      <t>, 27 MSs, United Kingdom (Northern Ireland), and 4 non-MSs, 2024</t>
    </r>
  </si>
  <si>
    <t>Total (27 MSs + United Kingdom (Northern Ireland))</t>
  </si>
  <si>
    <t>Median (MSs + United Kingdom (Northern Ireland))</t>
  </si>
  <si>
    <t>Total (27 MSs, United Kingdom (Northern Ireland), and 4 non-MSs)</t>
  </si>
  <si>
    <t>Median (MSs, United Kingdom (Northern Ireland), and non-MSs)</t>
  </si>
  <si>
    <t>Total (27 MSs, United Kingdom (Northern Ireland), and 5 non-MSs)</t>
  </si>
  <si>
    <t>1.06</t>
  </si>
  <si>
    <t>67.0</t>
  </si>
  <si>
    <t>73.4</t>
  </si>
  <si>
    <t>26.6</t>
  </si>
  <si>
    <t>49.9</t>
  </si>
  <si>
    <t>39.8</t>
  </si>
  <si>
    <t>33.8</t>
  </si>
  <si>
    <t>28.5</t>
  </si>
  <si>
    <t>45.4</t>
  </si>
  <si>
    <t>36.2</t>
  </si>
  <si>
    <t>33.9</t>
  </si>
  <si>
    <t>37.9</t>
  </si>
  <si>
    <t>31.9</t>
  </si>
  <si>
    <t>49.2</t>
  </si>
  <si>
    <t>28.4</t>
  </si>
  <si>
    <t>23.0</t>
  </si>
  <si>
    <t>45.7</t>
  </si>
  <si>
    <t>29.8</t>
  </si>
  <si>
    <t>40.9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</si>
</sst>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);\(#,##0\)"/>
    <numFmt numFmtId="165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/>
        <bgColor rgb="FF000000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164" fontId="0" fillId="0" borderId="0" xfId="0" applyNumberFormat="1"/>
    <xf numFmtId="164" fontId="1" fillId="0" borderId="0" xfId="0" applyNumberFormat="1" applyFont="1"/>
    <xf numFmtId="0" fontId="4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37" fontId="4" fillId="0" borderId="0" xfId="2" applyNumberFormat="1"/>
    <xf numFmtId="165" fontId="4" fillId="0" borderId="0" xfId="2" applyNumberFormat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165" fontId="7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Alignment="1">
      <alignment horizontal="center" vertical="center"/>
    </xf>
    <xf numFmtId="0" fontId="0" fillId="0" borderId="0" xfId="0" applyAlignment="1">
      <alignment horizontal="justify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1" applyAlignment="1">
      <alignment vertical="center"/>
    </xf>
    <xf numFmtId="0" fontId="7" fillId="2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8" fillId="4" borderId="0" xfId="0" applyFont="1" applyFill="1"/>
    <xf numFmtId="0" fontId="1" fillId="0" borderId="0" xfId="0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/>
    </xf>
    <xf numFmtId="3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0" fontId="1" fillId="0" borderId="0" xfId="0" applyFont="1" applyAlignment="1">
      <alignment horizontal="center" wrapText="1"/>
    </xf>
    <xf numFmtId="0" fontId="4" fillId="0" borderId="0" xfId="0" applyFont="1" applyFill="1" applyAlignment="1">
      <alignment vertical="center"/>
    </xf>
    <xf numFmtId="0" fontId="4" fillId="0" borderId="0" xfId="0" applyFont="1" applyFill="1" applyAlignment="1">
      <alignment horizontal="right" vertical="center"/>
    </xf>
    <xf numFmtId="3" fontId="5" fillId="0" borderId="0" xfId="0" applyNumberFormat="1" applyFont="1" applyFill="1" applyAlignment="1">
      <alignment horizontal="right" vertical="center"/>
    </xf>
    <xf numFmtId="0" fontId="5" fillId="0" borderId="0" xfId="0" applyFont="1" applyFill="1" applyAlignment="1">
      <alignment horizontal="right" vertical="center"/>
    </xf>
  </cellXfs>
  <cellStyles count="4">
    <cellStyle name="Hyperlink" xfId="1" builtinId="8"/>
    <cellStyle name="Normal" xfId="0" builtinId="0"/>
    <cellStyle name="Normal 2" xfId="2" xr:uid="{B0FB895F-2020-410C-82B4-ADD710CC0E50}"/>
    <cellStyle name="Procent 2" xfId="3" xr:uid="{CA90386E-7614-4A9C-BBF7-469F8C8C862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93345</xdr:colOff>
      <xdr:row>39</xdr:row>
      <xdr:rowOff>112395</xdr:rowOff>
    </xdr:from>
    <xdr:to>
      <xdr:col>2</xdr:col>
      <xdr:colOff>161925</xdr:colOff>
      <xdr:row>45</xdr:row>
      <xdr:rowOff>74295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4AE69A-3F85-B4F1-B0E7-14190CEC574F}"/>
            </a:ext>
          </a:extLst>
        </xdr:cNvPr>
        <xdr:cNvSpPr/>
      </xdr:nvSpPr>
      <xdr:spPr>
        <a:xfrm>
          <a:off x="93345" y="5903595"/>
          <a:ext cx="2716530" cy="1047750"/>
        </a:xfrm>
        <a:prstGeom prst="lef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20</xdr:row>
      <xdr:rowOff>142875</xdr:rowOff>
    </xdr:from>
    <xdr:to>
      <xdr:col>2</xdr:col>
      <xdr:colOff>525780</xdr:colOff>
      <xdr:row>26</xdr:row>
      <xdr:rowOff>95250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C218B9-783F-4BD6-9591-508D6B08AAAC}"/>
            </a:ext>
          </a:extLst>
        </xdr:cNvPr>
        <xdr:cNvSpPr/>
      </xdr:nvSpPr>
      <xdr:spPr>
        <a:xfrm>
          <a:off x="457200" y="5667375"/>
          <a:ext cx="2630805" cy="1095375"/>
        </a:xfrm>
        <a:prstGeom prst="lef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230505</xdr:colOff>
      <xdr:row>38</xdr:row>
      <xdr:rowOff>180975</xdr:rowOff>
    </xdr:from>
    <xdr:to>
      <xdr:col>2</xdr:col>
      <xdr:colOff>150495</xdr:colOff>
      <xdr:row>44</xdr:row>
      <xdr:rowOff>125730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B36DBC-D090-4CD7-A3CF-EC13156AC79E}"/>
            </a:ext>
          </a:extLst>
        </xdr:cNvPr>
        <xdr:cNvSpPr/>
      </xdr:nvSpPr>
      <xdr:spPr>
        <a:xfrm>
          <a:off x="230505" y="7419975"/>
          <a:ext cx="2644140" cy="1087755"/>
        </a:xfrm>
        <a:prstGeom prst="leftArrow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</xdr:colOff>
      <xdr:row>16</xdr:row>
      <xdr:rowOff>0</xdr:rowOff>
    </xdr:from>
    <xdr:to>
      <xdr:col>1</xdr:col>
      <xdr:colOff>592455</xdr:colOff>
      <xdr:row>21</xdr:row>
      <xdr:rowOff>131445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47C129-9D10-42B6-9220-42EA3374D88F}"/>
            </a:ext>
          </a:extLst>
        </xdr:cNvPr>
        <xdr:cNvSpPr/>
      </xdr:nvSpPr>
      <xdr:spPr>
        <a:xfrm>
          <a:off x="55245" y="5429250"/>
          <a:ext cx="2718435" cy="1036320"/>
        </a:xfrm>
        <a:prstGeom prst="leftArrow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</xdr:colOff>
      <xdr:row>14</xdr:row>
      <xdr:rowOff>26670</xdr:rowOff>
    </xdr:from>
    <xdr:to>
      <xdr:col>4</xdr:col>
      <xdr:colOff>321945</xdr:colOff>
      <xdr:row>19</xdr:row>
      <xdr:rowOff>161925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3DCB4B-9231-4CC8-9051-F0CA364E5026}"/>
            </a:ext>
          </a:extLst>
        </xdr:cNvPr>
        <xdr:cNvSpPr/>
      </xdr:nvSpPr>
      <xdr:spPr>
        <a:xfrm>
          <a:off x="59055" y="2560320"/>
          <a:ext cx="2701290" cy="1040130"/>
        </a:xfrm>
        <a:prstGeom prst="leftArrow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17</xdr:row>
      <xdr:rowOff>9525</xdr:rowOff>
    </xdr:from>
    <xdr:to>
      <xdr:col>4</xdr:col>
      <xdr:colOff>577215</xdr:colOff>
      <xdr:row>22</xdr:row>
      <xdr:rowOff>144780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B523DE-73B4-4DB7-B587-CF0D79C3F276}"/>
            </a:ext>
          </a:extLst>
        </xdr:cNvPr>
        <xdr:cNvSpPr/>
      </xdr:nvSpPr>
      <xdr:spPr>
        <a:xfrm>
          <a:off x="314325" y="3248025"/>
          <a:ext cx="2872740" cy="1087755"/>
        </a:xfrm>
        <a:prstGeom prst="leftArrow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17</xdr:row>
      <xdr:rowOff>66675</xdr:rowOff>
    </xdr:from>
    <xdr:to>
      <xdr:col>4</xdr:col>
      <xdr:colOff>720090</xdr:colOff>
      <xdr:row>23</xdr:row>
      <xdr:rowOff>11430</xdr:rowOff>
    </xdr:to>
    <xdr:sp macro="" textlink="">
      <xdr:nvSpPr>
        <xdr:cNvPr id="3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0ED99B-8E5B-A9D9-6739-4D01C73776BD}"/>
            </a:ext>
          </a:extLst>
        </xdr:cNvPr>
        <xdr:cNvSpPr/>
      </xdr:nvSpPr>
      <xdr:spPr>
        <a:xfrm>
          <a:off x="476250" y="3495675"/>
          <a:ext cx="3434715" cy="1087755"/>
        </a:xfrm>
        <a:prstGeom prst="leftArrow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9</xdr:row>
      <xdr:rowOff>19050</xdr:rowOff>
    </xdr:from>
    <xdr:to>
      <xdr:col>5</xdr:col>
      <xdr:colOff>43815</xdr:colOff>
      <xdr:row>14</xdr:row>
      <xdr:rowOff>154305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6D9FCD-BBC4-4034-AF1C-2524D7B3B882}"/>
            </a:ext>
          </a:extLst>
        </xdr:cNvPr>
        <xdr:cNvSpPr/>
      </xdr:nvSpPr>
      <xdr:spPr>
        <a:xfrm>
          <a:off x="390525" y="2305050"/>
          <a:ext cx="2701290" cy="1087755"/>
        </a:xfrm>
        <a:prstGeom prst="leftArrow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93D50-78DF-4B6D-8D92-AAC273389D5A}">
  <sheetPr>
    <pageSetUpPr fitToPage="1"/>
  </sheetPr>
  <dimension ref="A1:F35"/>
  <sheetViews>
    <sheetView workbookViewId="0"/>
  </sheetViews>
  <sheetFormatPr defaultColWidth="9.1796875" defaultRowHeight="14.5" x14ac:dyDescent="0.35"/>
  <cols>
    <col min="1" max="1" width="12.7265625" style="19" bestFit="1" customWidth="1"/>
    <col min="2" max="2" width="25.54296875" style="19" bestFit="1" customWidth="1"/>
    <col min="3" max="3" width="83.54296875" style="19" customWidth="1"/>
    <col min="4" max="4" width="13.7265625" style="19" customWidth="1"/>
    <col min="5" max="5" width="12.26953125" bestFit="1" customWidth="1"/>
  </cols>
  <sheetData>
    <row r="1" spans="1:6" x14ac:dyDescent="0.35">
      <c r="A1" s="6" t="s">
        <v>0</v>
      </c>
      <c r="B1" s="6" t="s">
        <v>1</v>
      </c>
      <c r="C1" s="6" t="s">
        <v>2</v>
      </c>
      <c r="D1" s="6" t="s">
        <v>3</v>
      </c>
    </row>
    <row r="2" spans="1:6" x14ac:dyDescent="0.35">
      <c r="A2" s="18">
        <v>1</v>
      </c>
      <c r="B2" s="18" t="str" cm="1">
        <f t="array" ref="B2">INDEX(Sheetlist,A2)</f>
        <v>Table of Contents</v>
      </c>
      <c r="D2" s="20" t="str">
        <f>HYPERLINK("#'"&amp;B2&amp;"'!A1","Go to Sheet")</f>
        <v>Go to Sheet</v>
      </c>
    </row>
    <row r="3" spans="1:6" ht="58" x14ac:dyDescent="0.35">
      <c r="A3" s="18">
        <v>2</v>
      </c>
      <c r="B3" s="18" t="str" cm="1">
        <f t="array" ref="B3">INDEX(Sheetlist,A3)</f>
        <v>T. 1. Pigs E. coli</v>
      </c>
      <c r="C3" s="21" t="s">
        <v>643</v>
      </c>
      <c r="D3" s="20" t="str">
        <f t="shared" ref="D3:D10" si="0">HYPERLINK("#'"&amp;B3&amp;"'!A1","Go to Sheet")</f>
        <v>Go to Sheet</v>
      </c>
      <c r="F3" s="29" t="s">
        <v>641</v>
      </c>
    </row>
    <row r="4" spans="1:6" ht="58" x14ac:dyDescent="0.35">
      <c r="A4" s="18">
        <v>3</v>
      </c>
      <c r="B4" s="18" t="str" cm="1">
        <f t="array" ref="B4">INDEX(Sheetlist,A4)</f>
        <v>T. 2. Cattle &lt;1y E. coli</v>
      </c>
      <c r="C4" s="22" t="s">
        <v>642</v>
      </c>
      <c r="D4" s="20" t="str">
        <f t="shared" si="0"/>
        <v>Go to Sheet</v>
      </c>
    </row>
    <row r="5" spans="1:6" ht="58" x14ac:dyDescent="0.35">
      <c r="A5" s="18">
        <v>4</v>
      </c>
      <c r="B5" s="18" t="str" cm="1">
        <f t="array" ref="B5">INDEX(Sheetlist,A5)</f>
        <v>T. 3. Broilers E. coli</v>
      </c>
      <c r="C5" s="21" t="s">
        <v>644</v>
      </c>
      <c r="D5" s="20" t="str">
        <f t="shared" si="0"/>
        <v>Go to Sheet</v>
      </c>
    </row>
    <row r="6" spans="1:6" ht="58" x14ac:dyDescent="0.35">
      <c r="A6" s="18">
        <v>5</v>
      </c>
      <c r="B6" s="18" t="str" cm="1">
        <f t="array" ref="B6">INDEX(Sheetlist,A6)</f>
        <v>T. 4. Turkey E. coli</v>
      </c>
      <c r="C6" s="21" t="s">
        <v>638</v>
      </c>
      <c r="D6" s="20" t="str">
        <f t="shared" si="0"/>
        <v>Go to Sheet</v>
      </c>
    </row>
    <row r="7" spans="1:6" ht="58" x14ac:dyDescent="0.35">
      <c r="A7" s="18">
        <v>6</v>
      </c>
      <c r="B7" s="18" t="str" cm="1">
        <f t="array" ref="B7">INDEX(Sheetlist,A7)</f>
        <v>T. 5. Pig meat BCP E. coli</v>
      </c>
      <c r="C7" s="21" t="s">
        <v>544</v>
      </c>
      <c r="D7" s="20" t="str">
        <f t="shared" si="0"/>
        <v>Go to Sheet</v>
      </c>
    </row>
    <row r="8" spans="1:6" ht="58" x14ac:dyDescent="0.35">
      <c r="A8" s="18">
        <v>7</v>
      </c>
      <c r="B8" s="18" t="str" cm="1">
        <f t="array" ref="B8">INDEX(Sheetlist,A8)</f>
        <v>T. 6. Bovine meat BCP E. coli</v>
      </c>
      <c r="C8" s="21" t="s">
        <v>545</v>
      </c>
      <c r="D8" s="20" t="str">
        <f t="shared" si="0"/>
        <v>Go to Sheet</v>
      </c>
    </row>
    <row r="9" spans="1:6" ht="58" x14ac:dyDescent="0.35">
      <c r="A9" s="18">
        <v>8</v>
      </c>
      <c r="B9" s="18" t="str" cm="1">
        <f t="array" ref="B9">INDEX(Sheetlist,A9)</f>
        <v>T. 7. Broiler meat BCP E. coli</v>
      </c>
      <c r="C9" s="21" t="s">
        <v>639</v>
      </c>
      <c r="D9" s="20" t="str">
        <f t="shared" si="0"/>
        <v>Go to Sheet</v>
      </c>
    </row>
    <row r="10" spans="1:6" ht="58" x14ac:dyDescent="0.35">
      <c r="A10" s="18">
        <v>9</v>
      </c>
      <c r="B10" s="18" t="str" cm="1">
        <f t="array" ref="B10">INDEX(Sheetlist,A10)</f>
        <v>T. 8. Turkey meat BCP E. coli</v>
      </c>
      <c r="C10" s="21" t="s">
        <v>640</v>
      </c>
      <c r="D10" s="20" t="str">
        <f t="shared" si="0"/>
        <v>Go to Sheet</v>
      </c>
    </row>
    <row r="11" spans="1:6" x14ac:dyDescent="0.35">
      <c r="A11" s="18"/>
      <c r="B11" s="18"/>
      <c r="C11" s="23"/>
      <c r="D11" s="20"/>
    </row>
    <row r="12" spans="1:6" x14ac:dyDescent="0.35">
      <c r="A12" s="18"/>
      <c r="B12" s="18"/>
      <c r="C12" s="23"/>
      <c r="D12" s="20"/>
    </row>
    <row r="13" spans="1:6" x14ac:dyDescent="0.35">
      <c r="A13" s="18"/>
      <c r="B13" s="25" t="s">
        <v>546</v>
      </c>
      <c r="C13" s="26" t="s">
        <v>547</v>
      </c>
      <c r="D13" s="20"/>
    </row>
    <row r="14" spans="1:6" x14ac:dyDescent="0.35">
      <c r="A14" s="18"/>
      <c r="B14" s="23" t="s">
        <v>50</v>
      </c>
      <c r="C14" s="23" t="s">
        <v>51</v>
      </c>
      <c r="D14" s="20"/>
    </row>
    <row r="15" spans="1:6" x14ac:dyDescent="0.35">
      <c r="A15" s="18"/>
      <c r="B15" s="23" t="s">
        <v>52</v>
      </c>
      <c r="C15" s="23" t="s">
        <v>53</v>
      </c>
      <c r="D15" s="20"/>
    </row>
    <row r="16" spans="1:6" x14ac:dyDescent="0.35">
      <c r="A16" s="18"/>
      <c r="B16" s="23" t="s">
        <v>5</v>
      </c>
      <c r="C16" s="23" t="s">
        <v>54</v>
      </c>
      <c r="D16" s="20"/>
    </row>
    <row r="17" spans="1:4" x14ac:dyDescent="0.35">
      <c r="A17" s="18"/>
      <c r="B17" s="23" t="s">
        <v>58</v>
      </c>
      <c r="C17" s="23" t="s">
        <v>60</v>
      </c>
      <c r="D17" s="20"/>
    </row>
    <row r="18" spans="1:4" x14ac:dyDescent="0.35">
      <c r="A18" s="18"/>
      <c r="B18" s="23" t="s">
        <v>57</v>
      </c>
      <c r="C18" s="23" t="s">
        <v>61</v>
      </c>
      <c r="D18" s="20"/>
    </row>
    <row r="19" spans="1:4" x14ac:dyDescent="0.35">
      <c r="A19" s="18"/>
      <c r="B19" s="23" t="s">
        <v>59</v>
      </c>
      <c r="C19" s="23" t="s">
        <v>62</v>
      </c>
      <c r="D19" s="20"/>
    </row>
    <row r="20" spans="1:4" x14ac:dyDescent="0.35">
      <c r="A20" s="18"/>
      <c r="B20" s="23" t="s">
        <v>55</v>
      </c>
      <c r="C20" s="23" t="s">
        <v>56</v>
      </c>
      <c r="D20" s="20"/>
    </row>
    <row r="21" spans="1:4" x14ac:dyDescent="0.35">
      <c r="B21" s="23" t="s">
        <v>514</v>
      </c>
      <c r="C21" s="23" t="s">
        <v>529</v>
      </c>
      <c r="D21" s="24"/>
    </row>
    <row r="22" spans="1:4" x14ac:dyDescent="0.35">
      <c r="B22" s="23" t="s">
        <v>515</v>
      </c>
      <c r="C22" s="23" t="s">
        <v>530</v>
      </c>
      <c r="D22" s="24"/>
    </row>
    <row r="23" spans="1:4" x14ac:dyDescent="0.35">
      <c r="B23" s="23" t="s">
        <v>516</v>
      </c>
      <c r="C23" s="23" t="s">
        <v>531</v>
      </c>
      <c r="D23" s="24"/>
    </row>
    <row r="24" spans="1:4" x14ac:dyDescent="0.35">
      <c r="B24" s="23" t="s">
        <v>517</v>
      </c>
      <c r="C24" s="23" t="s">
        <v>532</v>
      </c>
    </row>
    <row r="25" spans="1:4" x14ac:dyDescent="0.35">
      <c r="B25" s="23" t="s">
        <v>518</v>
      </c>
      <c r="C25" s="23" t="s">
        <v>533</v>
      </c>
    </row>
    <row r="26" spans="1:4" x14ac:dyDescent="0.35">
      <c r="B26" s="23" t="s">
        <v>519</v>
      </c>
      <c r="C26" s="23" t="s">
        <v>534</v>
      </c>
    </row>
    <row r="27" spans="1:4" x14ac:dyDescent="0.35">
      <c r="B27" s="23" t="s">
        <v>520</v>
      </c>
      <c r="C27" s="23" t="s">
        <v>535</v>
      </c>
    </row>
    <row r="28" spans="1:4" x14ac:dyDescent="0.35">
      <c r="B28" s="23" t="s">
        <v>521</v>
      </c>
      <c r="C28" s="23" t="s">
        <v>536</v>
      </c>
    </row>
    <row r="29" spans="1:4" x14ac:dyDescent="0.35">
      <c r="B29" s="23" t="s">
        <v>522</v>
      </c>
      <c r="C29" s="23" t="s">
        <v>537</v>
      </c>
    </row>
    <row r="30" spans="1:4" x14ac:dyDescent="0.35">
      <c r="B30" s="23" t="s">
        <v>523</v>
      </c>
      <c r="C30" s="23" t="s">
        <v>538</v>
      </c>
    </row>
    <row r="31" spans="1:4" x14ac:dyDescent="0.35">
      <c r="B31" s="23" t="s">
        <v>524</v>
      </c>
      <c r="C31" s="23" t="s">
        <v>539</v>
      </c>
    </row>
    <row r="32" spans="1:4" x14ac:dyDescent="0.35">
      <c r="B32" s="23" t="s">
        <v>525</v>
      </c>
      <c r="C32" s="23" t="s">
        <v>540</v>
      </c>
    </row>
    <row r="33" spans="2:3" x14ac:dyDescent="0.35">
      <c r="B33" s="23" t="s">
        <v>526</v>
      </c>
      <c r="C33" s="23" t="s">
        <v>541</v>
      </c>
    </row>
    <row r="34" spans="2:3" x14ac:dyDescent="0.35">
      <c r="B34" s="23" t="s">
        <v>527</v>
      </c>
      <c r="C34" s="23" t="s">
        <v>542</v>
      </c>
    </row>
    <row r="35" spans="2:3" x14ac:dyDescent="0.35">
      <c r="B35" s="23" t="s">
        <v>528</v>
      </c>
      <c r="C35" s="23" t="s">
        <v>543</v>
      </c>
    </row>
  </sheetData>
  <pageMargins left="0.7" right="0.7" top="0.75" bottom="0.75" header="0.3" footer="0.3"/>
  <pageSetup paperSize="9" scale="7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D48"/>
  <sheetViews>
    <sheetView topLeftCell="E1" zoomScale="80" zoomScaleNormal="80" workbookViewId="0">
      <selection activeCell="U1" sqref="U1"/>
    </sheetView>
  </sheetViews>
  <sheetFormatPr defaultColWidth="8.81640625" defaultRowHeight="14.5" x14ac:dyDescent="0.35"/>
  <cols>
    <col min="1" max="1" width="62" style="5" bestFit="1" customWidth="1"/>
    <col min="2" max="2" width="10" style="3" bestFit="1" customWidth="1"/>
    <col min="3" max="3" width="12.453125" style="3" bestFit="1" customWidth="1"/>
    <col min="4" max="4" width="12.81640625" style="3" bestFit="1" customWidth="1"/>
    <col min="5" max="5" width="11.81640625" style="3" bestFit="1" customWidth="1"/>
    <col min="6" max="6" width="12.81640625" style="3" bestFit="1" customWidth="1"/>
    <col min="7" max="7" width="11.81640625" style="3" bestFit="1" customWidth="1"/>
    <col min="8" max="8" width="12.1796875" style="3" bestFit="1" customWidth="1"/>
    <col min="9" max="9" width="13.26953125" style="3" bestFit="1" customWidth="1"/>
    <col min="10" max="11" width="12.26953125" style="3" bestFit="1" customWidth="1"/>
    <col min="12" max="12" width="11.54296875" style="3" bestFit="1" customWidth="1"/>
    <col min="13" max="13" width="12.7265625" style="3" bestFit="1" customWidth="1"/>
    <col min="14" max="14" width="12.1796875" style="3" bestFit="1" customWidth="1"/>
    <col min="15" max="16" width="12.7265625" style="3" bestFit="1" customWidth="1"/>
    <col min="17" max="17" width="11.7265625" style="3" bestFit="1" customWidth="1"/>
    <col min="18" max="18" width="10.7265625" style="3" bestFit="1" customWidth="1"/>
    <col min="19" max="19" width="12.81640625" style="3" bestFit="1" customWidth="1"/>
    <col min="20" max="20" width="29.54296875" style="3" customWidth="1"/>
    <col min="21" max="21" width="25.453125" style="3" customWidth="1"/>
    <col min="22" max="16384" width="8.81640625" style="3"/>
  </cols>
  <sheetData>
    <row r="1" spans="1:29" s="1" customFormat="1" ht="43" customHeight="1" x14ac:dyDescent="0.35">
      <c r="A1" s="4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36" t="s">
        <v>23</v>
      </c>
      <c r="U1" s="36" t="s">
        <v>135</v>
      </c>
    </row>
    <row r="2" spans="1:29" x14ac:dyDescent="0.35">
      <c r="A2" s="5" t="s">
        <v>24</v>
      </c>
      <c r="B2" s="7">
        <v>172</v>
      </c>
      <c r="C2" s="15" t="s">
        <v>190</v>
      </c>
      <c r="D2" s="15" t="s">
        <v>96</v>
      </c>
      <c r="E2" s="15" t="s">
        <v>107</v>
      </c>
      <c r="F2" s="15" t="s">
        <v>227</v>
      </c>
      <c r="G2" s="15" t="s">
        <v>190</v>
      </c>
      <c r="H2" s="15" t="s">
        <v>190</v>
      </c>
      <c r="I2" s="15" t="s">
        <v>495</v>
      </c>
      <c r="J2" s="15" t="s">
        <v>133</v>
      </c>
      <c r="K2" s="15" t="s">
        <v>133</v>
      </c>
      <c r="L2" s="15" t="s">
        <v>190</v>
      </c>
      <c r="M2" s="15" t="s">
        <v>96</v>
      </c>
      <c r="N2" s="15" t="s">
        <v>495</v>
      </c>
      <c r="O2" s="15" t="s">
        <v>228</v>
      </c>
      <c r="P2" s="15" t="s">
        <v>229</v>
      </c>
      <c r="Q2" s="15" t="s">
        <v>230</v>
      </c>
      <c r="R2" s="15" t="s">
        <v>231</v>
      </c>
      <c r="S2" s="15" t="s">
        <v>114</v>
      </c>
      <c r="T2" s="15" t="s">
        <v>495</v>
      </c>
      <c r="U2" s="15" t="s">
        <v>495</v>
      </c>
      <c r="AC2" s="5"/>
    </row>
    <row r="3" spans="1:29" x14ac:dyDescent="0.35">
      <c r="A3" s="5" t="s">
        <v>25</v>
      </c>
      <c r="B3" s="7">
        <v>176</v>
      </c>
      <c r="C3" s="15" t="s">
        <v>112</v>
      </c>
      <c r="D3" s="15" t="s">
        <v>212</v>
      </c>
      <c r="E3" s="15" t="s">
        <v>165</v>
      </c>
      <c r="F3" s="15" t="s">
        <v>224</v>
      </c>
      <c r="G3" s="15" t="s">
        <v>495</v>
      </c>
      <c r="H3" s="15" t="s">
        <v>495</v>
      </c>
      <c r="I3" s="15" t="s">
        <v>495</v>
      </c>
      <c r="J3" s="15" t="s">
        <v>212</v>
      </c>
      <c r="K3" s="15" t="s">
        <v>232</v>
      </c>
      <c r="L3" s="15" t="s">
        <v>233</v>
      </c>
      <c r="M3" s="15" t="s">
        <v>212</v>
      </c>
      <c r="N3" s="15" t="s">
        <v>495</v>
      </c>
      <c r="O3" s="15" t="s">
        <v>234</v>
      </c>
      <c r="P3" s="15" t="s">
        <v>235</v>
      </c>
      <c r="Q3" s="15" t="s">
        <v>236</v>
      </c>
      <c r="R3" s="15" t="s">
        <v>237</v>
      </c>
      <c r="S3" s="15" t="s">
        <v>235</v>
      </c>
      <c r="T3" s="15" t="s">
        <v>495</v>
      </c>
      <c r="U3" s="15" t="s">
        <v>495</v>
      </c>
      <c r="AC3" s="5"/>
    </row>
    <row r="4" spans="1:29" x14ac:dyDescent="0.35">
      <c r="A4" s="5" t="s">
        <v>26</v>
      </c>
      <c r="B4" s="7">
        <v>85</v>
      </c>
      <c r="C4" s="15" t="s">
        <v>167</v>
      </c>
      <c r="D4" s="15" t="s">
        <v>495</v>
      </c>
      <c r="E4" s="15" t="s">
        <v>177</v>
      </c>
      <c r="F4" s="15" t="s">
        <v>238</v>
      </c>
      <c r="G4" s="15" t="s">
        <v>495</v>
      </c>
      <c r="H4" s="15" t="s">
        <v>495</v>
      </c>
      <c r="I4" s="15" t="s">
        <v>495</v>
      </c>
      <c r="J4" s="15" t="s">
        <v>495</v>
      </c>
      <c r="K4" s="15" t="s">
        <v>118</v>
      </c>
      <c r="L4" s="15" t="s">
        <v>239</v>
      </c>
      <c r="M4" s="15" t="s">
        <v>167</v>
      </c>
      <c r="N4" s="15" t="s">
        <v>495</v>
      </c>
      <c r="O4" s="15" t="s">
        <v>160</v>
      </c>
      <c r="P4" s="15" t="s">
        <v>152</v>
      </c>
      <c r="Q4" s="15" t="s">
        <v>192</v>
      </c>
      <c r="R4" s="15" t="s">
        <v>176</v>
      </c>
      <c r="S4" s="15" t="s">
        <v>160</v>
      </c>
      <c r="T4" s="15" t="s">
        <v>495</v>
      </c>
      <c r="U4" s="15" t="s">
        <v>495</v>
      </c>
      <c r="AC4" s="5"/>
    </row>
    <row r="5" spans="1:29" x14ac:dyDescent="0.35">
      <c r="A5" s="5" t="s">
        <v>27</v>
      </c>
      <c r="B5" s="7">
        <v>84</v>
      </c>
      <c r="C5" s="15" t="s">
        <v>79</v>
      </c>
      <c r="D5" s="15" t="s">
        <v>495</v>
      </c>
      <c r="E5" s="15" t="s">
        <v>303</v>
      </c>
      <c r="F5" s="15" t="s">
        <v>68</v>
      </c>
      <c r="G5" s="15" t="s">
        <v>167</v>
      </c>
      <c r="H5" s="15" t="s">
        <v>167</v>
      </c>
      <c r="I5" s="15" t="s">
        <v>495</v>
      </c>
      <c r="J5" s="15" t="s">
        <v>495</v>
      </c>
      <c r="K5" s="15" t="s">
        <v>379</v>
      </c>
      <c r="L5" s="15" t="s">
        <v>280</v>
      </c>
      <c r="M5" s="15" t="s">
        <v>79</v>
      </c>
      <c r="N5" s="15" t="s">
        <v>495</v>
      </c>
      <c r="O5" s="15" t="s">
        <v>474</v>
      </c>
      <c r="P5" s="15" t="s">
        <v>412</v>
      </c>
      <c r="Q5" s="15" t="s">
        <v>473</v>
      </c>
      <c r="R5" s="15" t="s">
        <v>367</v>
      </c>
      <c r="S5" s="15" t="s">
        <v>68</v>
      </c>
      <c r="T5" s="15" t="s">
        <v>495</v>
      </c>
      <c r="U5" s="15" t="s">
        <v>495</v>
      </c>
      <c r="AC5" s="5"/>
    </row>
    <row r="6" spans="1:29" x14ac:dyDescent="0.35">
      <c r="A6" s="5" t="s">
        <v>28</v>
      </c>
      <c r="B6" s="7">
        <v>32</v>
      </c>
      <c r="C6" s="15" t="s">
        <v>150</v>
      </c>
      <c r="D6" s="15" t="s">
        <v>495</v>
      </c>
      <c r="E6" s="15" t="s">
        <v>241</v>
      </c>
      <c r="F6" s="15" t="s">
        <v>98</v>
      </c>
      <c r="G6" s="15" t="s">
        <v>91</v>
      </c>
      <c r="H6" s="15" t="s">
        <v>91</v>
      </c>
      <c r="I6" s="15" t="s">
        <v>495</v>
      </c>
      <c r="J6" s="15" t="s">
        <v>495</v>
      </c>
      <c r="K6" s="15" t="s">
        <v>242</v>
      </c>
      <c r="L6" s="15" t="s">
        <v>242</v>
      </c>
      <c r="M6" s="15" t="s">
        <v>178</v>
      </c>
      <c r="N6" s="15" t="s">
        <v>495</v>
      </c>
      <c r="O6" s="15" t="s">
        <v>98</v>
      </c>
      <c r="P6" s="15" t="s">
        <v>243</v>
      </c>
      <c r="Q6" s="15" t="s">
        <v>244</v>
      </c>
      <c r="R6" s="15" t="s">
        <v>91</v>
      </c>
      <c r="S6" s="15" t="s">
        <v>98</v>
      </c>
      <c r="T6" s="15" t="s">
        <v>178</v>
      </c>
      <c r="U6" s="15" t="s">
        <v>245</v>
      </c>
      <c r="AC6" s="5"/>
    </row>
    <row r="7" spans="1:29" x14ac:dyDescent="0.35">
      <c r="A7" s="5" t="s">
        <v>29</v>
      </c>
      <c r="B7" s="7">
        <v>180</v>
      </c>
      <c r="C7" s="15" t="s">
        <v>495</v>
      </c>
      <c r="D7" s="15" t="s">
        <v>495</v>
      </c>
      <c r="E7" s="15" t="s">
        <v>178</v>
      </c>
      <c r="F7" s="15" t="s">
        <v>246</v>
      </c>
      <c r="G7" s="15" t="s">
        <v>184</v>
      </c>
      <c r="H7" s="15" t="s">
        <v>184</v>
      </c>
      <c r="I7" s="15" t="s">
        <v>495</v>
      </c>
      <c r="J7" s="15" t="s">
        <v>495</v>
      </c>
      <c r="K7" s="15" t="s">
        <v>247</v>
      </c>
      <c r="L7" s="15" t="s">
        <v>201</v>
      </c>
      <c r="M7" s="15" t="s">
        <v>186</v>
      </c>
      <c r="N7" s="15" t="s">
        <v>495</v>
      </c>
      <c r="O7" s="15" t="s">
        <v>248</v>
      </c>
      <c r="P7" s="15" t="s">
        <v>249</v>
      </c>
      <c r="Q7" s="15" t="s">
        <v>250</v>
      </c>
      <c r="R7" s="15" t="s">
        <v>251</v>
      </c>
      <c r="S7" s="15" t="s">
        <v>252</v>
      </c>
      <c r="T7" s="15" t="s">
        <v>96</v>
      </c>
      <c r="U7" s="15" t="s">
        <v>96</v>
      </c>
      <c r="AC7" s="5"/>
    </row>
    <row r="8" spans="1:29" x14ac:dyDescent="0.35">
      <c r="A8" s="5" t="s">
        <v>30</v>
      </c>
      <c r="B8" s="7">
        <v>172</v>
      </c>
      <c r="C8" s="15" t="s">
        <v>190</v>
      </c>
      <c r="D8" s="15" t="s">
        <v>96</v>
      </c>
      <c r="E8" s="15" t="s">
        <v>253</v>
      </c>
      <c r="F8" s="15" t="s">
        <v>254</v>
      </c>
      <c r="G8" s="15" t="s">
        <v>133</v>
      </c>
      <c r="H8" s="15" t="s">
        <v>96</v>
      </c>
      <c r="I8" s="15" t="s">
        <v>495</v>
      </c>
      <c r="J8" s="15" t="s">
        <v>495</v>
      </c>
      <c r="K8" s="15" t="s">
        <v>495</v>
      </c>
      <c r="L8" s="15" t="s">
        <v>133</v>
      </c>
      <c r="M8" s="15" t="s">
        <v>118</v>
      </c>
      <c r="N8" s="15" t="s">
        <v>495</v>
      </c>
      <c r="O8" s="15" t="s">
        <v>255</v>
      </c>
      <c r="P8" s="15" t="s">
        <v>256</v>
      </c>
      <c r="Q8" s="15" t="s">
        <v>257</v>
      </c>
      <c r="R8" s="15" t="s">
        <v>258</v>
      </c>
      <c r="S8" s="15" t="s">
        <v>259</v>
      </c>
      <c r="T8" s="15" t="s">
        <v>495</v>
      </c>
      <c r="U8" s="15" t="s">
        <v>495</v>
      </c>
      <c r="AC8" s="5"/>
    </row>
    <row r="9" spans="1:29" x14ac:dyDescent="0.35">
      <c r="A9" s="5" t="s">
        <v>31</v>
      </c>
      <c r="B9" s="7">
        <v>151</v>
      </c>
      <c r="C9" s="15" t="s">
        <v>495</v>
      </c>
      <c r="D9" s="15" t="s">
        <v>116</v>
      </c>
      <c r="E9" s="15" t="s">
        <v>221</v>
      </c>
      <c r="F9" s="15" t="s">
        <v>260</v>
      </c>
      <c r="G9" s="15" t="s">
        <v>495</v>
      </c>
      <c r="H9" s="15" t="s">
        <v>495</v>
      </c>
      <c r="I9" s="15" t="s">
        <v>495</v>
      </c>
      <c r="J9" s="15" t="s">
        <v>221</v>
      </c>
      <c r="K9" s="15" t="s">
        <v>213</v>
      </c>
      <c r="L9" s="15" t="s">
        <v>161</v>
      </c>
      <c r="M9" s="15" t="s">
        <v>495</v>
      </c>
      <c r="N9" s="15" t="s">
        <v>495</v>
      </c>
      <c r="O9" s="15" t="s">
        <v>261</v>
      </c>
      <c r="P9" s="15" t="s">
        <v>262</v>
      </c>
      <c r="Q9" s="15" t="s">
        <v>263</v>
      </c>
      <c r="R9" s="15" t="s">
        <v>264</v>
      </c>
      <c r="S9" s="15" t="s">
        <v>265</v>
      </c>
      <c r="T9" s="15" t="s">
        <v>495</v>
      </c>
      <c r="U9" s="15" t="s">
        <v>495</v>
      </c>
      <c r="AC9" s="5"/>
    </row>
    <row r="10" spans="1:29" x14ac:dyDescent="0.35">
      <c r="A10" s="5" t="s">
        <v>136</v>
      </c>
      <c r="B10" s="7">
        <v>170</v>
      </c>
      <c r="C10" s="15" t="s">
        <v>495</v>
      </c>
      <c r="D10" s="15" t="s">
        <v>495</v>
      </c>
      <c r="E10" s="15" t="s">
        <v>133</v>
      </c>
      <c r="F10" s="15" t="s">
        <v>183</v>
      </c>
      <c r="G10" s="15" t="s">
        <v>96</v>
      </c>
      <c r="H10" s="15" t="s">
        <v>96</v>
      </c>
      <c r="I10" s="15" t="s">
        <v>495</v>
      </c>
      <c r="J10" s="15" t="s">
        <v>495</v>
      </c>
      <c r="K10" s="15" t="s">
        <v>96</v>
      </c>
      <c r="L10" s="15" t="s">
        <v>96</v>
      </c>
      <c r="M10" s="15" t="s">
        <v>495</v>
      </c>
      <c r="N10" s="15" t="s">
        <v>495</v>
      </c>
      <c r="O10" s="15" t="s">
        <v>83</v>
      </c>
      <c r="P10" s="15" t="s">
        <v>496</v>
      </c>
      <c r="Q10" s="15" t="s">
        <v>179</v>
      </c>
      <c r="R10" s="15" t="s">
        <v>266</v>
      </c>
      <c r="S10" s="15" t="s">
        <v>70</v>
      </c>
      <c r="T10" s="15" t="s">
        <v>495</v>
      </c>
      <c r="U10" s="15" t="s">
        <v>495</v>
      </c>
      <c r="AC10" s="5"/>
    </row>
    <row r="11" spans="1:29" x14ac:dyDescent="0.35">
      <c r="A11" s="5" t="s">
        <v>32</v>
      </c>
      <c r="B11" s="7">
        <v>191</v>
      </c>
      <c r="C11" s="15" t="s">
        <v>495</v>
      </c>
      <c r="D11" s="15" t="s">
        <v>267</v>
      </c>
      <c r="E11" s="15" t="s">
        <v>130</v>
      </c>
      <c r="F11" s="15" t="s">
        <v>156</v>
      </c>
      <c r="G11" s="15" t="s">
        <v>495</v>
      </c>
      <c r="H11" s="15" t="s">
        <v>495</v>
      </c>
      <c r="I11" s="15" t="s">
        <v>495</v>
      </c>
      <c r="J11" s="15" t="s">
        <v>495</v>
      </c>
      <c r="K11" s="15" t="s">
        <v>268</v>
      </c>
      <c r="L11" s="15" t="s">
        <v>268</v>
      </c>
      <c r="M11" s="15" t="s">
        <v>119</v>
      </c>
      <c r="N11" s="15" t="s">
        <v>495</v>
      </c>
      <c r="O11" s="15" t="s">
        <v>269</v>
      </c>
      <c r="P11" s="15" t="s">
        <v>270</v>
      </c>
      <c r="Q11" s="15" t="s">
        <v>271</v>
      </c>
      <c r="R11" s="15" t="s">
        <v>168</v>
      </c>
      <c r="S11" s="15" t="s">
        <v>272</v>
      </c>
      <c r="T11" s="15" t="s">
        <v>495</v>
      </c>
      <c r="U11" s="15" t="s">
        <v>495</v>
      </c>
      <c r="AC11" s="5"/>
    </row>
    <row r="12" spans="1:29" x14ac:dyDescent="0.35">
      <c r="A12" s="5" t="s">
        <v>33</v>
      </c>
      <c r="B12" s="7">
        <v>195</v>
      </c>
      <c r="C12" s="15" t="s">
        <v>119</v>
      </c>
      <c r="D12" s="15" t="s">
        <v>495</v>
      </c>
      <c r="E12" s="15" t="s">
        <v>273</v>
      </c>
      <c r="F12" s="15" t="s">
        <v>274</v>
      </c>
      <c r="G12" s="15" t="s">
        <v>267</v>
      </c>
      <c r="H12" s="15" t="s">
        <v>267</v>
      </c>
      <c r="I12" s="15" t="s">
        <v>495</v>
      </c>
      <c r="J12" s="15" t="s">
        <v>495</v>
      </c>
      <c r="K12" s="15" t="s">
        <v>170</v>
      </c>
      <c r="L12" s="15" t="s">
        <v>275</v>
      </c>
      <c r="M12" s="15" t="s">
        <v>170</v>
      </c>
      <c r="N12" s="15" t="s">
        <v>495</v>
      </c>
      <c r="O12" s="15" t="s">
        <v>276</v>
      </c>
      <c r="P12" s="15" t="s">
        <v>277</v>
      </c>
      <c r="Q12" s="15" t="s">
        <v>278</v>
      </c>
      <c r="R12" s="15" t="s">
        <v>279</v>
      </c>
      <c r="S12" s="15" t="s">
        <v>280</v>
      </c>
      <c r="T12" s="15" t="s">
        <v>119</v>
      </c>
      <c r="U12" s="15" t="s">
        <v>495</v>
      </c>
      <c r="AC12" s="5"/>
    </row>
    <row r="13" spans="1:29" x14ac:dyDescent="0.35">
      <c r="A13" s="5" t="s">
        <v>34</v>
      </c>
      <c r="B13" s="7">
        <v>68</v>
      </c>
      <c r="C13" s="15" t="s">
        <v>203</v>
      </c>
      <c r="D13" s="15" t="s">
        <v>495</v>
      </c>
      <c r="E13" s="15" t="s">
        <v>499</v>
      </c>
      <c r="F13" s="15" t="s">
        <v>281</v>
      </c>
      <c r="G13" s="15" t="s">
        <v>211</v>
      </c>
      <c r="H13" s="15" t="s">
        <v>211</v>
      </c>
      <c r="I13" s="15" t="s">
        <v>495</v>
      </c>
      <c r="J13" s="15" t="s">
        <v>495</v>
      </c>
      <c r="K13" s="15" t="s">
        <v>95</v>
      </c>
      <c r="L13" s="15" t="s">
        <v>187</v>
      </c>
      <c r="M13" s="15" t="s">
        <v>111</v>
      </c>
      <c r="N13" s="15" t="s">
        <v>211</v>
      </c>
      <c r="O13" s="15" t="s">
        <v>281</v>
      </c>
      <c r="P13" s="15" t="s">
        <v>499</v>
      </c>
      <c r="Q13" s="15" t="s">
        <v>82</v>
      </c>
      <c r="R13" s="15" t="s">
        <v>111</v>
      </c>
      <c r="S13" s="15" t="s">
        <v>196</v>
      </c>
      <c r="T13" s="15" t="s">
        <v>495</v>
      </c>
      <c r="U13" s="15" t="s">
        <v>495</v>
      </c>
      <c r="AC13" s="5"/>
    </row>
    <row r="14" spans="1:29" x14ac:dyDescent="0.35">
      <c r="A14" s="5" t="s">
        <v>35</v>
      </c>
      <c r="B14" s="7">
        <v>170</v>
      </c>
      <c r="C14" s="15" t="s">
        <v>133</v>
      </c>
      <c r="D14" s="15" t="s">
        <v>96</v>
      </c>
      <c r="E14" s="15" t="s">
        <v>70</v>
      </c>
      <c r="F14" s="15" t="s">
        <v>282</v>
      </c>
      <c r="G14" s="15" t="s">
        <v>133</v>
      </c>
      <c r="H14" s="15" t="s">
        <v>133</v>
      </c>
      <c r="I14" s="15" t="s">
        <v>495</v>
      </c>
      <c r="J14" s="15" t="s">
        <v>495</v>
      </c>
      <c r="K14" s="15" t="s">
        <v>203</v>
      </c>
      <c r="L14" s="15" t="s">
        <v>170</v>
      </c>
      <c r="M14" s="15" t="s">
        <v>495</v>
      </c>
      <c r="N14" s="15" t="s">
        <v>495</v>
      </c>
      <c r="O14" s="15" t="s">
        <v>283</v>
      </c>
      <c r="P14" s="15" t="s">
        <v>180</v>
      </c>
      <c r="Q14" s="15" t="s">
        <v>85</v>
      </c>
      <c r="R14" s="15" t="s">
        <v>152</v>
      </c>
      <c r="S14" s="15" t="s">
        <v>283</v>
      </c>
      <c r="T14" s="15" t="s">
        <v>495</v>
      </c>
      <c r="U14" s="15" t="s">
        <v>495</v>
      </c>
      <c r="AC14" s="5"/>
    </row>
    <row r="15" spans="1:29" x14ac:dyDescent="0.35">
      <c r="A15" s="5" t="s">
        <v>36</v>
      </c>
      <c r="B15" s="7">
        <v>170</v>
      </c>
      <c r="C15" s="15" t="s">
        <v>167</v>
      </c>
      <c r="D15" s="15" t="s">
        <v>495</v>
      </c>
      <c r="E15" s="15" t="s">
        <v>253</v>
      </c>
      <c r="F15" s="15" t="s">
        <v>284</v>
      </c>
      <c r="G15" s="15" t="s">
        <v>96</v>
      </c>
      <c r="H15" s="15" t="s">
        <v>96</v>
      </c>
      <c r="I15" s="15" t="s">
        <v>495</v>
      </c>
      <c r="J15" s="15" t="s">
        <v>495</v>
      </c>
      <c r="K15" s="15" t="s">
        <v>70</v>
      </c>
      <c r="L15" s="15" t="s">
        <v>285</v>
      </c>
      <c r="M15" s="15" t="s">
        <v>133</v>
      </c>
      <c r="N15" s="15" t="s">
        <v>495</v>
      </c>
      <c r="O15" s="15" t="s">
        <v>286</v>
      </c>
      <c r="P15" s="15" t="s">
        <v>283</v>
      </c>
      <c r="Q15" s="15" t="s">
        <v>175</v>
      </c>
      <c r="R15" s="15" t="s">
        <v>287</v>
      </c>
      <c r="S15" s="15" t="s">
        <v>234</v>
      </c>
      <c r="T15" s="15" t="s">
        <v>96</v>
      </c>
      <c r="U15" s="15" t="s">
        <v>495</v>
      </c>
      <c r="AC15" s="5"/>
    </row>
    <row r="16" spans="1:29" x14ac:dyDescent="0.35">
      <c r="A16" s="5" t="s">
        <v>37</v>
      </c>
      <c r="B16" s="7">
        <v>170</v>
      </c>
      <c r="C16" s="15" t="s">
        <v>496</v>
      </c>
      <c r="D16" s="15" t="s">
        <v>495</v>
      </c>
      <c r="E16" s="15" t="s">
        <v>198</v>
      </c>
      <c r="F16" s="15" t="s">
        <v>288</v>
      </c>
      <c r="G16" s="15" t="s">
        <v>167</v>
      </c>
      <c r="H16" s="15" t="s">
        <v>167</v>
      </c>
      <c r="I16" s="15" t="s">
        <v>495</v>
      </c>
      <c r="J16" s="15" t="s">
        <v>495</v>
      </c>
      <c r="K16" s="15" t="s">
        <v>188</v>
      </c>
      <c r="L16" s="15" t="s">
        <v>173</v>
      </c>
      <c r="M16" s="15" t="s">
        <v>495</v>
      </c>
      <c r="N16" s="15" t="s">
        <v>495</v>
      </c>
      <c r="O16" s="15" t="s">
        <v>193</v>
      </c>
      <c r="P16" s="15" t="s">
        <v>182</v>
      </c>
      <c r="Q16" s="15" t="s">
        <v>289</v>
      </c>
      <c r="R16" s="15" t="s">
        <v>183</v>
      </c>
      <c r="S16" s="15" t="s">
        <v>199</v>
      </c>
      <c r="T16" s="15" t="s">
        <v>104</v>
      </c>
      <c r="U16" s="15" t="s">
        <v>495</v>
      </c>
      <c r="AC16" s="5"/>
    </row>
    <row r="17" spans="1:29" x14ac:dyDescent="0.35">
      <c r="A17" s="5" t="s">
        <v>38</v>
      </c>
      <c r="B17" s="7">
        <v>150</v>
      </c>
      <c r="C17" s="15" t="s">
        <v>213</v>
      </c>
      <c r="D17" s="15" t="s">
        <v>495</v>
      </c>
      <c r="E17" s="15" t="s">
        <v>290</v>
      </c>
      <c r="F17" s="15" t="s">
        <v>291</v>
      </c>
      <c r="G17" s="15" t="s">
        <v>221</v>
      </c>
      <c r="H17" s="15" t="s">
        <v>221</v>
      </c>
      <c r="I17" s="15" t="s">
        <v>495</v>
      </c>
      <c r="J17" s="15" t="s">
        <v>495</v>
      </c>
      <c r="K17" s="15" t="s">
        <v>292</v>
      </c>
      <c r="L17" s="15" t="s">
        <v>107</v>
      </c>
      <c r="M17" s="15" t="s">
        <v>116</v>
      </c>
      <c r="N17" s="15" t="s">
        <v>293</v>
      </c>
      <c r="O17" s="15" t="s">
        <v>224</v>
      </c>
      <c r="P17" s="15" t="s">
        <v>294</v>
      </c>
      <c r="Q17" s="15" t="s">
        <v>295</v>
      </c>
      <c r="R17" s="15" t="s">
        <v>296</v>
      </c>
      <c r="S17" s="15" t="s">
        <v>121</v>
      </c>
      <c r="T17" s="15" t="s">
        <v>495</v>
      </c>
      <c r="U17" s="15" t="s">
        <v>495</v>
      </c>
      <c r="AC17" s="5"/>
    </row>
    <row r="18" spans="1:29" x14ac:dyDescent="0.35">
      <c r="A18" s="5" t="s">
        <v>39</v>
      </c>
      <c r="B18" s="7">
        <v>100</v>
      </c>
      <c r="C18" s="15" t="s">
        <v>213</v>
      </c>
      <c r="D18" s="15" t="s">
        <v>495</v>
      </c>
      <c r="E18" s="15" t="s">
        <v>297</v>
      </c>
      <c r="F18" s="15" t="s">
        <v>298</v>
      </c>
      <c r="G18" s="15" t="s">
        <v>495</v>
      </c>
      <c r="H18" s="15" t="s">
        <v>495</v>
      </c>
      <c r="I18" s="15" t="s">
        <v>495</v>
      </c>
      <c r="J18" s="15" t="s">
        <v>495</v>
      </c>
      <c r="K18" s="15" t="s">
        <v>217</v>
      </c>
      <c r="L18" s="15" t="s">
        <v>299</v>
      </c>
      <c r="M18" s="15" t="s">
        <v>213</v>
      </c>
      <c r="N18" s="15" t="s">
        <v>495</v>
      </c>
      <c r="O18" s="15" t="s">
        <v>300</v>
      </c>
      <c r="P18" s="15" t="s">
        <v>301</v>
      </c>
      <c r="Q18" s="15" t="s">
        <v>302</v>
      </c>
      <c r="R18" s="15" t="s">
        <v>302</v>
      </c>
      <c r="S18" s="15" t="s">
        <v>303</v>
      </c>
      <c r="T18" s="15" t="s">
        <v>495</v>
      </c>
      <c r="U18" s="15" t="s">
        <v>495</v>
      </c>
      <c r="AC18" s="5"/>
    </row>
    <row r="19" spans="1:29" x14ac:dyDescent="0.35">
      <c r="A19" s="5" t="s">
        <v>40</v>
      </c>
      <c r="B19" s="7">
        <v>168</v>
      </c>
      <c r="C19" s="15" t="s">
        <v>96</v>
      </c>
      <c r="D19" s="15" t="s">
        <v>495</v>
      </c>
      <c r="E19" s="15" t="s">
        <v>304</v>
      </c>
      <c r="F19" s="15" t="s">
        <v>278</v>
      </c>
      <c r="G19" s="15" t="s">
        <v>96</v>
      </c>
      <c r="H19" s="15" t="s">
        <v>495</v>
      </c>
      <c r="I19" s="15" t="s">
        <v>495</v>
      </c>
      <c r="J19" s="15" t="s">
        <v>495</v>
      </c>
      <c r="K19" s="15" t="s">
        <v>104</v>
      </c>
      <c r="L19" s="15" t="s">
        <v>87</v>
      </c>
      <c r="M19" s="15" t="s">
        <v>104</v>
      </c>
      <c r="N19" s="15" t="s">
        <v>495</v>
      </c>
      <c r="O19" s="15" t="s">
        <v>305</v>
      </c>
      <c r="P19" s="15" t="s">
        <v>306</v>
      </c>
      <c r="Q19" s="15" t="s">
        <v>307</v>
      </c>
      <c r="R19" s="15" t="s">
        <v>308</v>
      </c>
      <c r="S19" s="15" t="s">
        <v>159</v>
      </c>
      <c r="T19" s="15" t="s">
        <v>495</v>
      </c>
      <c r="U19" s="15" t="s">
        <v>495</v>
      </c>
      <c r="AC19" s="5"/>
    </row>
    <row r="20" spans="1:29" x14ac:dyDescent="0.35">
      <c r="A20" s="5" t="s">
        <v>41</v>
      </c>
      <c r="B20" s="7">
        <v>208</v>
      </c>
      <c r="C20" s="15" t="s">
        <v>203</v>
      </c>
      <c r="D20" s="15" t="s">
        <v>267</v>
      </c>
      <c r="E20" s="15" t="s">
        <v>309</v>
      </c>
      <c r="F20" s="15" t="s">
        <v>310</v>
      </c>
      <c r="G20" s="15" t="s">
        <v>119</v>
      </c>
      <c r="H20" s="15" t="s">
        <v>119</v>
      </c>
      <c r="I20" s="15" t="s">
        <v>495</v>
      </c>
      <c r="J20" s="15" t="s">
        <v>267</v>
      </c>
      <c r="K20" s="15" t="s">
        <v>285</v>
      </c>
      <c r="L20" s="15" t="s">
        <v>201</v>
      </c>
      <c r="M20" s="15" t="s">
        <v>119</v>
      </c>
      <c r="N20" s="15" t="s">
        <v>495</v>
      </c>
      <c r="O20" s="15" t="s">
        <v>311</v>
      </c>
      <c r="P20" s="15" t="s">
        <v>282</v>
      </c>
      <c r="Q20" s="15" t="s">
        <v>312</v>
      </c>
      <c r="R20" s="15" t="s">
        <v>260</v>
      </c>
      <c r="S20" s="15" t="s">
        <v>246</v>
      </c>
      <c r="T20" s="15" t="s">
        <v>119</v>
      </c>
      <c r="U20" s="15" t="s">
        <v>495</v>
      </c>
      <c r="AC20" s="5"/>
    </row>
    <row r="21" spans="1:29" x14ac:dyDescent="0.35">
      <c r="A21" s="5" t="s">
        <v>42</v>
      </c>
      <c r="B21" s="7">
        <v>300</v>
      </c>
      <c r="C21" s="15" t="s">
        <v>495</v>
      </c>
      <c r="D21" s="15" t="s">
        <v>495</v>
      </c>
      <c r="E21" s="15" t="s">
        <v>150</v>
      </c>
      <c r="F21" s="15" t="s">
        <v>249</v>
      </c>
      <c r="G21" s="15" t="s">
        <v>495</v>
      </c>
      <c r="H21" s="15" t="s">
        <v>495</v>
      </c>
      <c r="I21" s="15" t="s">
        <v>495</v>
      </c>
      <c r="J21" s="15" t="s">
        <v>495</v>
      </c>
      <c r="K21" s="15" t="s">
        <v>116</v>
      </c>
      <c r="L21" s="15" t="s">
        <v>190</v>
      </c>
      <c r="M21" s="15" t="s">
        <v>190</v>
      </c>
      <c r="N21" s="15" t="s">
        <v>495</v>
      </c>
      <c r="O21" s="15" t="s">
        <v>313</v>
      </c>
      <c r="P21" s="15" t="s">
        <v>228</v>
      </c>
      <c r="Q21" s="15" t="s">
        <v>314</v>
      </c>
      <c r="R21" s="15" t="s">
        <v>315</v>
      </c>
      <c r="S21" s="15" t="s">
        <v>227</v>
      </c>
      <c r="T21" s="15" t="s">
        <v>495</v>
      </c>
      <c r="U21" s="15" t="s">
        <v>495</v>
      </c>
      <c r="AC21" s="5"/>
    </row>
    <row r="22" spans="1:29" x14ac:dyDescent="0.35">
      <c r="A22" s="5" t="s">
        <v>43</v>
      </c>
      <c r="B22" s="7">
        <v>221</v>
      </c>
      <c r="C22" s="15" t="s">
        <v>112</v>
      </c>
      <c r="D22" s="15" t="s">
        <v>119</v>
      </c>
      <c r="E22" s="15" t="s">
        <v>316</v>
      </c>
      <c r="F22" s="15" t="s">
        <v>317</v>
      </c>
      <c r="G22" s="15" t="s">
        <v>142</v>
      </c>
      <c r="H22" s="15" t="s">
        <v>142</v>
      </c>
      <c r="I22" s="15" t="s">
        <v>495</v>
      </c>
      <c r="J22" s="15" t="s">
        <v>88</v>
      </c>
      <c r="K22" s="15" t="s">
        <v>318</v>
      </c>
      <c r="L22" s="15" t="s">
        <v>92</v>
      </c>
      <c r="M22" s="15" t="s">
        <v>104</v>
      </c>
      <c r="N22" s="15" t="s">
        <v>142</v>
      </c>
      <c r="O22" s="15" t="s">
        <v>319</v>
      </c>
      <c r="P22" s="15" t="s">
        <v>320</v>
      </c>
      <c r="Q22" s="15" t="s">
        <v>321</v>
      </c>
      <c r="R22" s="15" t="s">
        <v>294</v>
      </c>
      <c r="S22" s="15" t="s">
        <v>322</v>
      </c>
      <c r="T22" s="15" t="s">
        <v>119</v>
      </c>
      <c r="U22" s="15" t="s">
        <v>119</v>
      </c>
      <c r="AC22" s="5"/>
    </row>
    <row r="23" spans="1:29" x14ac:dyDescent="0.35">
      <c r="A23" s="5" t="s">
        <v>44</v>
      </c>
      <c r="B23" s="7">
        <v>182</v>
      </c>
      <c r="C23" s="15" t="s">
        <v>216</v>
      </c>
      <c r="D23" s="15" t="s">
        <v>495</v>
      </c>
      <c r="E23" s="15" t="s">
        <v>323</v>
      </c>
      <c r="F23" s="15" t="s">
        <v>324</v>
      </c>
      <c r="G23" s="15" t="s">
        <v>292</v>
      </c>
      <c r="H23" s="15" t="s">
        <v>292</v>
      </c>
      <c r="I23" s="15" t="s">
        <v>495</v>
      </c>
      <c r="J23" s="15" t="s">
        <v>495</v>
      </c>
      <c r="K23" s="15" t="s">
        <v>124</v>
      </c>
      <c r="L23" s="15" t="s">
        <v>325</v>
      </c>
      <c r="M23" s="15" t="s">
        <v>216</v>
      </c>
      <c r="N23" s="15" t="s">
        <v>495</v>
      </c>
      <c r="O23" s="15" t="s">
        <v>315</v>
      </c>
      <c r="P23" s="15" t="s">
        <v>326</v>
      </c>
      <c r="Q23" s="15" t="s">
        <v>129</v>
      </c>
      <c r="R23" s="15" t="s">
        <v>100</v>
      </c>
      <c r="S23" s="15" t="s">
        <v>317</v>
      </c>
      <c r="T23" s="15" t="s">
        <v>212</v>
      </c>
      <c r="U23" s="15" t="s">
        <v>495</v>
      </c>
      <c r="AC23" s="5"/>
    </row>
    <row r="24" spans="1:29" x14ac:dyDescent="0.35">
      <c r="A24" s="5" t="s">
        <v>45</v>
      </c>
      <c r="B24" s="7">
        <v>169</v>
      </c>
      <c r="C24" s="15" t="s">
        <v>75</v>
      </c>
      <c r="D24" s="15" t="s">
        <v>495</v>
      </c>
      <c r="E24" s="15" t="s">
        <v>551</v>
      </c>
      <c r="F24" s="15" t="s">
        <v>552</v>
      </c>
      <c r="G24" s="15" t="s">
        <v>80</v>
      </c>
      <c r="H24" s="15" t="s">
        <v>80</v>
      </c>
      <c r="I24" s="15" t="s">
        <v>495</v>
      </c>
      <c r="J24" s="15" t="s">
        <v>495</v>
      </c>
      <c r="K24" s="15" t="s">
        <v>463</v>
      </c>
      <c r="L24" s="15" t="s">
        <v>215</v>
      </c>
      <c r="M24" s="15" t="s">
        <v>105</v>
      </c>
      <c r="N24" s="15" t="s">
        <v>495</v>
      </c>
      <c r="O24" s="15" t="s">
        <v>432</v>
      </c>
      <c r="P24" s="15" t="s">
        <v>151</v>
      </c>
      <c r="Q24" s="15" t="s">
        <v>432</v>
      </c>
      <c r="R24" s="15" t="s">
        <v>249</v>
      </c>
      <c r="S24" s="15" t="s">
        <v>481</v>
      </c>
      <c r="T24" s="15" t="s">
        <v>107</v>
      </c>
      <c r="U24" s="15" t="s">
        <v>96</v>
      </c>
      <c r="AC24" s="5"/>
    </row>
    <row r="25" spans="1:29" x14ac:dyDescent="0.35">
      <c r="A25" s="5" t="s">
        <v>46</v>
      </c>
      <c r="B25" s="7">
        <v>85</v>
      </c>
      <c r="C25" s="15" t="s">
        <v>67</v>
      </c>
      <c r="D25" s="15" t="s">
        <v>495</v>
      </c>
      <c r="E25" s="15" t="s">
        <v>201</v>
      </c>
      <c r="F25" s="15" t="s">
        <v>497</v>
      </c>
      <c r="G25" s="15" t="s">
        <v>495</v>
      </c>
      <c r="H25" s="15" t="s">
        <v>495</v>
      </c>
      <c r="I25" s="15" t="s">
        <v>495</v>
      </c>
      <c r="J25" s="15" t="s">
        <v>495</v>
      </c>
      <c r="K25" s="15" t="s">
        <v>176</v>
      </c>
      <c r="L25" s="15" t="s">
        <v>81</v>
      </c>
      <c r="M25" s="15" t="s">
        <v>495</v>
      </c>
      <c r="N25" s="15" t="s">
        <v>495</v>
      </c>
      <c r="O25" s="15" t="s">
        <v>97</v>
      </c>
      <c r="P25" s="15" t="s">
        <v>84</v>
      </c>
      <c r="Q25" s="15" t="s">
        <v>286</v>
      </c>
      <c r="R25" s="15" t="s">
        <v>115</v>
      </c>
      <c r="S25" s="15" t="s">
        <v>283</v>
      </c>
      <c r="T25" s="15" t="s">
        <v>495</v>
      </c>
      <c r="U25" s="15" t="s">
        <v>495</v>
      </c>
      <c r="AC25" s="5"/>
    </row>
    <row r="26" spans="1:29" x14ac:dyDescent="0.35">
      <c r="A26" s="5" t="s">
        <v>47</v>
      </c>
      <c r="B26" s="7">
        <v>85</v>
      </c>
      <c r="C26" s="15" t="s">
        <v>133</v>
      </c>
      <c r="D26" s="15" t="s">
        <v>495</v>
      </c>
      <c r="E26" s="15" t="s">
        <v>176</v>
      </c>
      <c r="F26" s="15" t="s">
        <v>171</v>
      </c>
      <c r="G26" s="15" t="s">
        <v>118</v>
      </c>
      <c r="H26" s="15" t="s">
        <v>167</v>
      </c>
      <c r="I26" s="15" t="s">
        <v>495</v>
      </c>
      <c r="J26" s="15" t="s">
        <v>495</v>
      </c>
      <c r="K26" s="15" t="s">
        <v>67</v>
      </c>
      <c r="L26" s="15" t="s">
        <v>83</v>
      </c>
      <c r="M26" s="15" t="s">
        <v>133</v>
      </c>
      <c r="N26" s="15" t="s">
        <v>495</v>
      </c>
      <c r="O26" s="15" t="s">
        <v>239</v>
      </c>
      <c r="P26" s="15" t="s">
        <v>498</v>
      </c>
      <c r="Q26" s="15" t="s">
        <v>152</v>
      </c>
      <c r="R26" s="15" t="s">
        <v>182</v>
      </c>
      <c r="S26" s="15" t="s">
        <v>180</v>
      </c>
      <c r="T26" s="15" t="s">
        <v>133</v>
      </c>
      <c r="U26" s="15" t="s">
        <v>495</v>
      </c>
      <c r="AC26" s="5"/>
    </row>
    <row r="27" spans="1:29" x14ac:dyDescent="0.35">
      <c r="A27" s="5" t="s">
        <v>48</v>
      </c>
      <c r="B27" s="7">
        <v>170</v>
      </c>
      <c r="C27" s="15" t="s">
        <v>167</v>
      </c>
      <c r="D27" s="15" t="s">
        <v>495</v>
      </c>
      <c r="E27" s="15" t="s">
        <v>152</v>
      </c>
      <c r="F27" s="15" t="s">
        <v>196</v>
      </c>
      <c r="G27" s="15" t="s">
        <v>96</v>
      </c>
      <c r="H27" s="15" t="s">
        <v>495</v>
      </c>
      <c r="I27" s="15" t="s">
        <v>495</v>
      </c>
      <c r="J27" s="15" t="s">
        <v>495</v>
      </c>
      <c r="K27" s="15" t="s">
        <v>207</v>
      </c>
      <c r="L27" s="15" t="s">
        <v>177</v>
      </c>
      <c r="M27" s="15" t="s">
        <v>167</v>
      </c>
      <c r="N27" s="15" t="s">
        <v>495</v>
      </c>
      <c r="O27" s="15" t="s">
        <v>168</v>
      </c>
      <c r="P27" s="15" t="s">
        <v>144</v>
      </c>
      <c r="Q27" s="15" t="s">
        <v>329</v>
      </c>
      <c r="R27" s="15" t="s">
        <v>179</v>
      </c>
      <c r="S27" s="15" t="s">
        <v>193</v>
      </c>
      <c r="T27" s="15" t="s">
        <v>96</v>
      </c>
      <c r="U27" s="15" t="s">
        <v>495</v>
      </c>
      <c r="AC27" s="5"/>
    </row>
    <row r="28" spans="1:29" x14ac:dyDescent="0.35">
      <c r="A28" s="5" t="s">
        <v>137</v>
      </c>
      <c r="B28" s="7">
        <v>174</v>
      </c>
      <c r="C28" s="15" t="s">
        <v>495</v>
      </c>
      <c r="D28" s="15" t="s">
        <v>495</v>
      </c>
      <c r="E28" s="15" t="s">
        <v>185</v>
      </c>
      <c r="F28" s="15" t="s">
        <v>330</v>
      </c>
      <c r="G28" s="15" t="s">
        <v>495</v>
      </c>
      <c r="H28" s="15" t="s">
        <v>495</v>
      </c>
      <c r="I28" s="15" t="s">
        <v>495</v>
      </c>
      <c r="J28" s="15" t="s">
        <v>495</v>
      </c>
      <c r="K28" s="15" t="s">
        <v>212</v>
      </c>
      <c r="L28" s="15" t="s">
        <v>190</v>
      </c>
      <c r="M28" s="15" t="s">
        <v>96</v>
      </c>
      <c r="N28" s="15" t="s">
        <v>495</v>
      </c>
      <c r="O28" s="15" t="s">
        <v>331</v>
      </c>
      <c r="P28" s="15" t="s">
        <v>331</v>
      </c>
      <c r="Q28" s="15" t="s">
        <v>332</v>
      </c>
      <c r="R28" s="15" t="s">
        <v>333</v>
      </c>
      <c r="S28" s="15" t="s">
        <v>334</v>
      </c>
      <c r="T28" s="15" t="s">
        <v>495</v>
      </c>
      <c r="U28" s="15" t="s">
        <v>495</v>
      </c>
      <c r="AC28" s="5"/>
    </row>
    <row r="29" spans="1:29" x14ac:dyDescent="0.35">
      <c r="A29" s="27" t="s">
        <v>601</v>
      </c>
      <c r="B29" s="7">
        <v>170</v>
      </c>
      <c r="C29" s="15" t="s">
        <v>133</v>
      </c>
      <c r="D29" s="15" t="s">
        <v>495</v>
      </c>
      <c r="E29" s="15" t="s">
        <v>188</v>
      </c>
      <c r="F29" s="15" t="s">
        <v>198</v>
      </c>
      <c r="G29" s="15" t="s">
        <v>495</v>
      </c>
      <c r="H29" s="15" t="s">
        <v>495</v>
      </c>
      <c r="I29" s="15" t="s">
        <v>495</v>
      </c>
      <c r="J29" s="15" t="s">
        <v>495</v>
      </c>
      <c r="K29" s="15" t="s">
        <v>167</v>
      </c>
      <c r="L29" s="15" t="s">
        <v>118</v>
      </c>
      <c r="M29" s="15" t="s">
        <v>495</v>
      </c>
      <c r="N29" s="15" t="s">
        <v>495</v>
      </c>
      <c r="O29" s="15" t="s">
        <v>144</v>
      </c>
      <c r="P29" s="15" t="s">
        <v>335</v>
      </c>
      <c r="Q29" s="15" t="s">
        <v>308</v>
      </c>
      <c r="R29" s="15" t="s">
        <v>204</v>
      </c>
      <c r="S29" s="15" t="s">
        <v>144</v>
      </c>
      <c r="T29" s="15" t="s">
        <v>495</v>
      </c>
      <c r="U29" s="15" t="s">
        <v>495</v>
      </c>
      <c r="AC29" s="5"/>
    </row>
    <row r="30" spans="1:29" s="1" customFormat="1" x14ac:dyDescent="0.35">
      <c r="A30" s="4" t="s">
        <v>645</v>
      </c>
      <c r="B30" s="8">
        <v>4368</v>
      </c>
      <c r="C30" s="16" t="s">
        <v>268</v>
      </c>
      <c r="D30" s="16" t="s">
        <v>117</v>
      </c>
      <c r="E30" s="16" t="s">
        <v>159</v>
      </c>
      <c r="F30" s="16" t="s">
        <v>553</v>
      </c>
      <c r="G30" s="16" t="s">
        <v>116</v>
      </c>
      <c r="H30" s="16" t="s">
        <v>133</v>
      </c>
      <c r="I30" s="16" t="s">
        <v>495</v>
      </c>
      <c r="J30" s="16" t="s">
        <v>212</v>
      </c>
      <c r="K30" s="16" t="s">
        <v>150</v>
      </c>
      <c r="L30" s="16" t="s">
        <v>225</v>
      </c>
      <c r="M30" s="16" t="s">
        <v>104</v>
      </c>
      <c r="N30" s="16" t="s">
        <v>210</v>
      </c>
      <c r="O30" s="16" t="s">
        <v>336</v>
      </c>
      <c r="P30" s="16" t="s">
        <v>337</v>
      </c>
      <c r="Q30" s="16" t="s">
        <v>427</v>
      </c>
      <c r="R30" s="16" t="s">
        <v>338</v>
      </c>
      <c r="S30" s="16" t="s">
        <v>554</v>
      </c>
      <c r="T30" s="16" t="s">
        <v>119</v>
      </c>
      <c r="U30" s="16" t="s">
        <v>210</v>
      </c>
      <c r="AC30" s="4"/>
    </row>
    <row r="31" spans="1:29" s="1" customFormat="1" x14ac:dyDescent="0.35">
      <c r="A31" s="4" t="s">
        <v>646</v>
      </c>
      <c r="B31" s="8">
        <v>170</v>
      </c>
      <c r="C31" s="16" t="s">
        <v>213</v>
      </c>
      <c r="D31" s="16" t="s">
        <v>495</v>
      </c>
      <c r="E31" s="16" t="s">
        <v>340</v>
      </c>
      <c r="F31" s="16" t="s">
        <v>341</v>
      </c>
      <c r="G31" s="16" t="s">
        <v>342</v>
      </c>
      <c r="H31" s="16" t="s">
        <v>96</v>
      </c>
      <c r="I31" s="16" t="s">
        <v>495</v>
      </c>
      <c r="J31" s="16" t="s">
        <v>495</v>
      </c>
      <c r="K31" s="16" t="s">
        <v>131</v>
      </c>
      <c r="L31" s="16" t="s">
        <v>343</v>
      </c>
      <c r="M31" s="16" t="s">
        <v>211</v>
      </c>
      <c r="N31" s="16" t="s">
        <v>495</v>
      </c>
      <c r="O31" s="16" t="s">
        <v>344</v>
      </c>
      <c r="P31" s="16" t="s">
        <v>66</v>
      </c>
      <c r="Q31" s="16" t="s">
        <v>345</v>
      </c>
      <c r="R31" s="16" t="s">
        <v>346</v>
      </c>
      <c r="S31" s="16" t="s">
        <v>283</v>
      </c>
      <c r="T31" s="16" t="s">
        <v>495</v>
      </c>
      <c r="U31" s="16" t="s">
        <v>495</v>
      </c>
      <c r="AC31" s="4"/>
    </row>
    <row r="32" spans="1:29" s="1" customFormat="1" x14ac:dyDescent="0.35">
      <c r="A32" t="s">
        <v>49</v>
      </c>
      <c r="B32" s="7">
        <v>85</v>
      </c>
      <c r="C32" s="15" t="s">
        <v>495</v>
      </c>
      <c r="D32" s="15" t="s">
        <v>495</v>
      </c>
      <c r="E32" s="15" t="s">
        <v>133</v>
      </c>
      <c r="F32" s="15" t="s">
        <v>84</v>
      </c>
      <c r="G32" s="15" t="s">
        <v>495</v>
      </c>
      <c r="H32" s="15" t="s">
        <v>495</v>
      </c>
      <c r="I32" s="15" t="s">
        <v>495</v>
      </c>
      <c r="J32" s="15" t="s">
        <v>495</v>
      </c>
      <c r="K32" s="15" t="s">
        <v>133</v>
      </c>
      <c r="L32" s="15" t="s">
        <v>133</v>
      </c>
      <c r="M32" s="15" t="s">
        <v>133</v>
      </c>
      <c r="N32" s="15" t="s">
        <v>495</v>
      </c>
      <c r="O32" s="15" t="s">
        <v>498</v>
      </c>
      <c r="P32" s="15" t="s">
        <v>176</v>
      </c>
      <c r="Q32" s="15" t="s">
        <v>498</v>
      </c>
      <c r="R32" s="15" t="s">
        <v>197</v>
      </c>
      <c r="S32" s="15" t="s">
        <v>183</v>
      </c>
      <c r="T32" s="15" t="s">
        <v>495</v>
      </c>
      <c r="U32" s="15" t="s">
        <v>495</v>
      </c>
      <c r="AC32"/>
    </row>
    <row r="33" spans="1:30" s="1" customFormat="1" x14ac:dyDescent="0.35">
      <c r="A33" t="s">
        <v>138</v>
      </c>
      <c r="B33" s="7">
        <v>41</v>
      </c>
      <c r="C33" s="15" t="s">
        <v>290</v>
      </c>
      <c r="D33" s="15" t="s">
        <v>495</v>
      </c>
      <c r="E33" s="15" t="s">
        <v>270</v>
      </c>
      <c r="F33" s="15" t="s">
        <v>314</v>
      </c>
      <c r="G33" s="15" t="s">
        <v>167</v>
      </c>
      <c r="H33" s="15" t="s">
        <v>167</v>
      </c>
      <c r="I33" s="15" t="s">
        <v>495</v>
      </c>
      <c r="J33" s="15" t="s">
        <v>495</v>
      </c>
      <c r="K33" s="15" t="s">
        <v>347</v>
      </c>
      <c r="L33" s="15" t="s">
        <v>348</v>
      </c>
      <c r="M33" s="15" t="s">
        <v>131</v>
      </c>
      <c r="N33" s="15" t="s">
        <v>495</v>
      </c>
      <c r="O33" s="15" t="s">
        <v>347</v>
      </c>
      <c r="P33" s="15" t="s">
        <v>314</v>
      </c>
      <c r="Q33" s="15" t="s">
        <v>349</v>
      </c>
      <c r="R33" s="15" t="s">
        <v>314</v>
      </c>
      <c r="S33" s="15" t="s">
        <v>350</v>
      </c>
      <c r="T33" s="15" t="s">
        <v>167</v>
      </c>
      <c r="U33" s="15" t="s">
        <v>167</v>
      </c>
      <c r="AC33"/>
    </row>
    <row r="34" spans="1:30" s="1" customFormat="1" x14ac:dyDescent="0.35">
      <c r="A34" t="s">
        <v>139</v>
      </c>
      <c r="B34" s="7">
        <v>330</v>
      </c>
      <c r="C34" s="15" t="s">
        <v>96</v>
      </c>
      <c r="D34" s="15" t="s">
        <v>117</v>
      </c>
      <c r="E34" s="15" t="s">
        <v>117</v>
      </c>
      <c r="F34" s="15" t="s">
        <v>221</v>
      </c>
      <c r="G34" s="15" t="s">
        <v>117</v>
      </c>
      <c r="H34" s="15" t="s">
        <v>117</v>
      </c>
      <c r="I34" s="15" t="s">
        <v>495</v>
      </c>
      <c r="J34" s="15" t="s">
        <v>495</v>
      </c>
      <c r="K34" s="15" t="s">
        <v>133</v>
      </c>
      <c r="L34" s="15" t="s">
        <v>133</v>
      </c>
      <c r="M34" s="15" t="s">
        <v>495</v>
      </c>
      <c r="N34" s="15" t="s">
        <v>495</v>
      </c>
      <c r="O34" s="15" t="s">
        <v>102</v>
      </c>
      <c r="P34" s="15" t="s">
        <v>221</v>
      </c>
      <c r="Q34" s="15" t="s">
        <v>351</v>
      </c>
      <c r="R34" s="15" t="s">
        <v>352</v>
      </c>
      <c r="S34" s="15" t="s">
        <v>353</v>
      </c>
      <c r="T34" s="15" t="s">
        <v>495</v>
      </c>
      <c r="U34" s="15" t="s">
        <v>495</v>
      </c>
      <c r="AC34"/>
    </row>
    <row r="35" spans="1:30" s="1" customFormat="1" x14ac:dyDescent="0.35">
      <c r="A35" t="s">
        <v>140</v>
      </c>
      <c r="B35" s="7">
        <v>26</v>
      </c>
      <c r="C35" s="15" t="s">
        <v>495</v>
      </c>
      <c r="D35" s="15" t="s">
        <v>495</v>
      </c>
      <c r="E35" s="15" t="s">
        <v>128</v>
      </c>
      <c r="F35" s="15" t="s">
        <v>354</v>
      </c>
      <c r="G35" s="15" t="s">
        <v>495</v>
      </c>
      <c r="H35" s="15" t="s">
        <v>495</v>
      </c>
      <c r="I35" s="15" t="s">
        <v>495</v>
      </c>
      <c r="J35" s="15" t="s">
        <v>495</v>
      </c>
      <c r="K35" s="15" t="s">
        <v>495</v>
      </c>
      <c r="L35" s="15" t="s">
        <v>78</v>
      </c>
      <c r="M35" s="15" t="s">
        <v>76</v>
      </c>
      <c r="N35" s="15" t="s">
        <v>495</v>
      </c>
      <c r="O35" s="15" t="s">
        <v>355</v>
      </c>
      <c r="P35" s="15" t="s">
        <v>127</v>
      </c>
      <c r="Q35" s="15" t="s">
        <v>355</v>
      </c>
      <c r="R35" s="15" t="s">
        <v>326</v>
      </c>
      <c r="S35" s="15" t="s">
        <v>158</v>
      </c>
      <c r="T35" s="15" t="s">
        <v>495</v>
      </c>
      <c r="U35" s="15" t="s">
        <v>495</v>
      </c>
      <c r="AC35"/>
    </row>
    <row r="36" spans="1:30" x14ac:dyDescent="0.35">
      <c r="A36" t="s">
        <v>141</v>
      </c>
      <c r="B36" s="7">
        <v>201</v>
      </c>
      <c r="C36" s="15" t="s">
        <v>211</v>
      </c>
      <c r="D36" s="15" t="s">
        <v>495</v>
      </c>
      <c r="E36" s="15" t="s">
        <v>109</v>
      </c>
      <c r="F36" s="15" t="s">
        <v>356</v>
      </c>
      <c r="G36" s="15" t="s">
        <v>495</v>
      </c>
      <c r="H36" s="15" t="s">
        <v>495</v>
      </c>
      <c r="I36" s="15" t="s">
        <v>495</v>
      </c>
      <c r="J36" s="15" t="s">
        <v>495</v>
      </c>
      <c r="K36" s="15" t="s">
        <v>217</v>
      </c>
      <c r="L36" s="15" t="s">
        <v>109</v>
      </c>
      <c r="M36" s="15" t="s">
        <v>119</v>
      </c>
      <c r="N36" s="15" t="s">
        <v>495</v>
      </c>
      <c r="O36" s="15" t="s">
        <v>357</v>
      </c>
      <c r="P36" s="15" t="s">
        <v>358</v>
      </c>
      <c r="Q36" s="15" t="s">
        <v>125</v>
      </c>
      <c r="R36" s="15" t="s">
        <v>359</v>
      </c>
      <c r="S36" s="15" t="s">
        <v>360</v>
      </c>
      <c r="T36" s="15" t="s">
        <v>495</v>
      </c>
      <c r="U36" s="15" t="s">
        <v>495</v>
      </c>
      <c r="AC36"/>
    </row>
    <row r="37" spans="1:30" s="1" customFormat="1" x14ac:dyDescent="0.35">
      <c r="A37" s="4" t="s">
        <v>505</v>
      </c>
      <c r="B37" s="8">
        <v>683</v>
      </c>
      <c r="C37" s="16" t="s">
        <v>133</v>
      </c>
      <c r="D37" s="16" t="s">
        <v>210</v>
      </c>
      <c r="E37" s="16" t="s">
        <v>110</v>
      </c>
      <c r="F37" s="16" t="s">
        <v>183</v>
      </c>
      <c r="G37" s="16" t="s">
        <v>117</v>
      </c>
      <c r="H37" s="16" t="s">
        <v>117</v>
      </c>
      <c r="I37" s="16" t="s">
        <v>495</v>
      </c>
      <c r="J37" s="16" t="s">
        <v>495</v>
      </c>
      <c r="K37" s="16" t="s">
        <v>217</v>
      </c>
      <c r="L37" s="16" t="s">
        <v>403</v>
      </c>
      <c r="M37" s="16" t="s">
        <v>293</v>
      </c>
      <c r="N37" s="16" t="s">
        <v>495</v>
      </c>
      <c r="O37" s="16" t="s">
        <v>145</v>
      </c>
      <c r="P37" s="16" t="s">
        <v>454</v>
      </c>
      <c r="Q37" s="16" t="s">
        <v>455</v>
      </c>
      <c r="R37" s="16" t="s">
        <v>506</v>
      </c>
      <c r="S37" s="16" t="s">
        <v>555</v>
      </c>
      <c r="T37" s="16" t="s">
        <v>210</v>
      </c>
      <c r="U37" s="16" t="s">
        <v>210</v>
      </c>
      <c r="AC37" s="4"/>
    </row>
    <row r="38" spans="1:30" s="1" customFormat="1" x14ac:dyDescent="0.35">
      <c r="A38" s="4" t="s">
        <v>649</v>
      </c>
      <c r="B38" s="8">
        <v>5051</v>
      </c>
      <c r="C38" s="16" t="s">
        <v>213</v>
      </c>
      <c r="D38" s="16" t="s">
        <v>117</v>
      </c>
      <c r="E38" s="16" t="s">
        <v>361</v>
      </c>
      <c r="F38" s="16" t="s">
        <v>341</v>
      </c>
      <c r="G38" s="16" t="s">
        <v>133</v>
      </c>
      <c r="H38" s="16" t="s">
        <v>212</v>
      </c>
      <c r="I38" s="16" t="s">
        <v>495</v>
      </c>
      <c r="J38" s="16" t="s">
        <v>267</v>
      </c>
      <c r="K38" s="16" t="s">
        <v>297</v>
      </c>
      <c r="L38" s="16" t="s">
        <v>362</v>
      </c>
      <c r="M38" s="16" t="s">
        <v>363</v>
      </c>
      <c r="N38" s="16" t="s">
        <v>210</v>
      </c>
      <c r="O38" s="16" t="s">
        <v>194</v>
      </c>
      <c r="P38" s="16" t="s">
        <v>364</v>
      </c>
      <c r="Q38" s="16" t="s">
        <v>338</v>
      </c>
      <c r="R38" s="16" t="s">
        <v>365</v>
      </c>
      <c r="S38" s="16" t="s">
        <v>366</v>
      </c>
      <c r="T38" s="16" t="s">
        <v>119</v>
      </c>
      <c r="U38" s="16" t="s">
        <v>210</v>
      </c>
      <c r="AC38" s="4"/>
    </row>
    <row r="39" spans="1:30" s="1" customFormat="1" x14ac:dyDescent="0.35">
      <c r="A39" s="4" t="s">
        <v>648</v>
      </c>
      <c r="B39" s="8">
        <v>170</v>
      </c>
      <c r="C39" s="16" t="s">
        <v>190</v>
      </c>
      <c r="D39" s="16" t="s">
        <v>495</v>
      </c>
      <c r="E39" s="16" t="s">
        <v>130</v>
      </c>
      <c r="F39" s="16" t="s">
        <v>298</v>
      </c>
      <c r="G39" s="16" t="s">
        <v>96</v>
      </c>
      <c r="H39" s="16" t="s">
        <v>96</v>
      </c>
      <c r="I39" s="16" t="s">
        <v>495</v>
      </c>
      <c r="J39" s="16" t="s">
        <v>495</v>
      </c>
      <c r="K39" s="16" t="s">
        <v>217</v>
      </c>
      <c r="L39" s="16" t="s">
        <v>78</v>
      </c>
      <c r="M39" s="16" t="s">
        <v>116</v>
      </c>
      <c r="N39" s="16" t="s">
        <v>495</v>
      </c>
      <c r="O39" s="16" t="s">
        <v>347</v>
      </c>
      <c r="P39" s="16" t="s">
        <v>294</v>
      </c>
      <c r="Q39" s="16" t="s">
        <v>85</v>
      </c>
      <c r="R39" s="16" t="s">
        <v>182</v>
      </c>
      <c r="S39" s="16" t="s">
        <v>235</v>
      </c>
      <c r="T39" s="16" t="s">
        <v>495</v>
      </c>
      <c r="U39" s="16" t="s">
        <v>495</v>
      </c>
      <c r="AC39" s="4"/>
    </row>
    <row r="48" spans="1:30" x14ac:dyDescent="0.35"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7"/>
      <c r="S48" s="17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</row>
  </sheetData>
  <autoFilter ref="A1:U1" xr:uid="{00000000-0001-0000-0000-000000000000}"/>
  <pageMargins left="0.7" right="0.7" top="0.75" bottom="0.75" header="0.3" footer="0.3"/>
  <pageSetup paperSize="9" scale="4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U30"/>
  <sheetViews>
    <sheetView topLeftCell="G1" zoomScaleNormal="100" workbookViewId="0">
      <selection activeCell="K36" sqref="K36"/>
    </sheetView>
  </sheetViews>
  <sheetFormatPr defaultColWidth="9.1796875" defaultRowHeight="14.5" x14ac:dyDescent="0.35"/>
  <cols>
    <col min="1" max="1" width="31.7265625" style="5" bestFit="1" customWidth="1"/>
    <col min="2" max="2" width="6.7265625" style="3" bestFit="1" customWidth="1"/>
    <col min="3" max="3" width="12.453125" style="3" bestFit="1" customWidth="1"/>
    <col min="4" max="4" width="12.81640625" style="3" bestFit="1" customWidth="1"/>
    <col min="5" max="5" width="11.81640625" style="3" bestFit="1" customWidth="1"/>
    <col min="6" max="6" width="12.81640625" style="3" bestFit="1" customWidth="1"/>
    <col min="7" max="7" width="11.81640625" style="3" bestFit="1" customWidth="1"/>
    <col min="8" max="8" width="12.1796875" style="3" bestFit="1" customWidth="1"/>
    <col min="9" max="9" width="13.26953125" style="3" bestFit="1" customWidth="1"/>
    <col min="10" max="11" width="12.26953125" style="3" bestFit="1" customWidth="1"/>
    <col min="12" max="12" width="11.54296875" style="3" bestFit="1" customWidth="1"/>
    <col min="13" max="13" width="12.7265625" style="3" bestFit="1" customWidth="1"/>
    <col min="14" max="14" width="12.1796875" style="3" bestFit="1" customWidth="1"/>
    <col min="15" max="16" width="12.7265625" style="3" bestFit="1" customWidth="1"/>
    <col min="17" max="17" width="11.7265625" style="3" bestFit="1" customWidth="1"/>
    <col min="18" max="18" width="10.7265625" style="3" bestFit="1" customWidth="1"/>
    <col min="19" max="19" width="12.81640625" style="3" bestFit="1" customWidth="1"/>
    <col min="20" max="20" width="44.453125" style="3" bestFit="1" customWidth="1"/>
    <col min="21" max="21" width="43.54296875" bestFit="1" customWidth="1"/>
  </cols>
  <sheetData>
    <row r="1" spans="1:21" s="2" customFormat="1" x14ac:dyDescent="0.35">
      <c r="A1" s="2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101</v>
      </c>
      <c r="U1" s="1" t="s">
        <v>135</v>
      </c>
    </row>
    <row r="2" spans="1:21" x14ac:dyDescent="0.35">
      <c r="A2" t="s">
        <v>24</v>
      </c>
      <c r="B2" s="7">
        <v>181</v>
      </c>
      <c r="C2" s="9" t="s">
        <v>495</v>
      </c>
      <c r="D2" s="9" t="s">
        <v>495</v>
      </c>
      <c r="E2" s="9" t="s">
        <v>368</v>
      </c>
      <c r="F2" s="9" t="s">
        <v>369</v>
      </c>
      <c r="G2" s="9" t="s">
        <v>212</v>
      </c>
      <c r="H2" s="9" t="s">
        <v>212</v>
      </c>
      <c r="I2" s="9" t="s">
        <v>495</v>
      </c>
      <c r="J2" s="9" t="s">
        <v>495</v>
      </c>
      <c r="K2" s="9" t="s">
        <v>190</v>
      </c>
      <c r="L2" s="9" t="s">
        <v>368</v>
      </c>
      <c r="M2" s="9" t="s">
        <v>495</v>
      </c>
      <c r="N2" s="9" t="s">
        <v>495</v>
      </c>
      <c r="O2" s="9" t="s">
        <v>178</v>
      </c>
      <c r="P2" s="9" t="s">
        <v>216</v>
      </c>
      <c r="Q2" s="9" t="s">
        <v>370</v>
      </c>
      <c r="R2" s="9" t="s">
        <v>502</v>
      </c>
      <c r="S2" s="9" t="s">
        <v>369</v>
      </c>
      <c r="T2" s="9" t="s">
        <v>96</v>
      </c>
      <c r="U2" s="9" t="s">
        <v>96</v>
      </c>
    </row>
    <row r="3" spans="1:21" x14ac:dyDescent="0.35">
      <c r="A3" t="s">
        <v>25</v>
      </c>
      <c r="B3" s="7">
        <v>171</v>
      </c>
      <c r="C3" s="9" t="s">
        <v>285</v>
      </c>
      <c r="D3" s="9" t="s">
        <v>495</v>
      </c>
      <c r="E3" s="9" t="s">
        <v>274</v>
      </c>
      <c r="F3" s="9" t="s">
        <v>371</v>
      </c>
      <c r="G3" s="9" t="s">
        <v>495</v>
      </c>
      <c r="H3" s="9" t="s">
        <v>495</v>
      </c>
      <c r="I3" s="9" t="s">
        <v>495</v>
      </c>
      <c r="J3" s="9" t="s">
        <v>104</v>
      </c>
      <c r="K3" s="9" t="s">
        <v>95</v>
      </c>
      <c r="L3" s="9" t="s">
        <v>372</v>
      </c>
      <c r="M3" s="9" t="s">
        <v>118</v>
      </c>
      <c r="N3" s="9" t="s">
        <v>133</v>
      </c>
      <c r="O3" s="9" t="s">
        <v>307</v>
      </c>
      <c r="P3" s="9" t="s">
        <v>373</v>
      </c>
      <c r="Q3" s="9" t="s">
        <v>374</v>
      </c>
      <c r="R3" s="9" t="s">
        <v>94</v>
      </c>
      <c r="S3" s="9" t="s">
        <v>345</v>
      </c>
      <c r="T3" s="9" t="s">
        <v>495</v>
      </c>
      <c r="U3" s="9" t="s">
        <v>495</v>
      </c>
    </row>
    <row r="4" spans="1:21" x14ac:dyDescent="0.35">
      <c r="A4" t="s">
        <v>27</v>
      </c>
      <c r="B4" s="7">
        <v>86</v>
      </c>
      <c r="C4" s="9" t="s">
        <v>133</v>
      </c>
      <c r="D4" s="9" t="s">
        <v>495</v>
      </c>
      <c r="E4" s="9" t="s">
        <v>375</v>
      </c>
      <c r="F4" s="9" t="s">
        <v>229</v>
      </c>
      <c r="G4" s="9" t="s">
        <v>495</v>
      </c>
      <c r="H4" s="9" t="s">
        <v>495</v>
      </c>
      <c r="I4" s="9" t="s">
        <v>495</v>
      </c>
      <c r="J4" s="9" t="s">
        <v>495</v>
      </c>
      <c r="K4" s="9" t="s">
        <v>107</v>
      </c>
      <c r="L4" s="9" t="s">
        <v>376</v>
      </c>
      <c r="M4" s="9" t="s">
        <v>495</v>
      </c>
      <c r="N4" s="9" t="s">
        <v>495</v>
      </c>
      <c r="O4" s="9" t="s">
        <v>252</v>
      </c>
      <c r="P4" s="9" t="s">
        <v>377</v>
      </c>
      <c r="Q4" s="9" t="s">
        <v>108</v>
      </c>
      <c r="R4" s="9" t="s">
        <v>378</v>
      </c>
      <c r="S4" s="9" t="s">
        <v>356</v>
      </c>
      <c r="T4" s="9" t="s">
        <v>495</v>
      </c>
      <c r="U4" s="9" t="s">
        <v>495</v>
      </c>
    </row>
    <row r="5" spans="1:21" x14ac:dyDescent="0.35">
      <c r="A5" t="s">
        <v>30</v>
      </c>
      <c r="B5" s="7">
        <v>168</v>
      </c>
      <c r="C5" s="9" t="s">
        <v>96</v>
      </c>
      <c r="D5" s="9" t="s">
        <v>495</v>
      </c>
      <c r="E5" s="9" t="s">
        <v>362</v>
      </c>
      <c r="F5" s="9" t="s">
        <v>379</v>
      </c>
      <c r="G5" s="9" t="s">
        <v>96</v>
      </c>
      <c r="H5" s="9" t="s">
        <v>96</v>
      </c>
      <c r="I5" s="9" t="s">
        <v>495</v>
      </c>
      <c r="J5" s="9" t="s">
        <v>495</v>
      </c>
      <c r="K5" s="9" t="s">
        <v>495</v>
      </c>
      <c r="L5" s="9" t="s">
        <v>96</v>
      </c>
      <c r="M5" s="9" t="s">
        <v>495</v>
      </c>
      <c r="N5" s="9" t="s">
        <v>495</v>
      </c>
      <c r="O5" s="9" t="s">
        <v>306</v>
      </c>
      <c r="P5" s="9" t="s">
        <v>79</v>
      </c>
      <c r="Q5" s="9" t="s">
        <v>134</v>
      </c>
      <c r="R5" s="9" t="s">
        <v>380</v>
      </c>
      <c r="S5" s="9" t="s">
        <v>124</v>
      </c>
      <c r="T5" s="9" t="s">
        <v>495</v>
      </c>
      <c r="U5" s="9" t="s">
        <v>495</v>
      </c>
    </row>
    <row r="6" spans="1:21" x14ac:dyDescent="0.35">
      <c r="A6" t="s">
        <v>32</v>
      </c>
      <c r="B6" s="7">
        <v>190</v>
      </c>
      <c r="C6" s="9" t="s">
        <v>381</v>
      </c>
      <c r="D6" s="9" t="s">
        <v>495</v>
      </c>
      <c r="E6" s="9" t="s">
        <v>382</v>
      </c>
      <c r="F6" s="9" t="s">
        <v>383</v>
      </c>
      <c r="G6" s="9" t="s">
        <v>119</v>
      </c>
      <c r="H6" s="9" t="s">
        <v>495</v>
      </c>
      <c r="I6" s="9" t="s">
        <v>495</v>
      </c>
      <c r="J6" s="9" t="s">
        <v>119</v>
      </c>
      <c r="K6" s="9" t="s">
        <v>381</v>
      </c>
      <c r="L6" s="9" t="s">
        <v>150</v>
      </c>
      <c r="M6" s="9" t="s">
        <v>75</v>
      </c>
      <c r="N6" s="9" t="s">
        <v>495</v>
      </c>
      <c r="O6" s="9" t="s">
        <v>384</v>
      </c>
      <c r="P6" s="9" t="s">
        <v>113</v>
      </c>
      <c r="Q6" s="9" t="s">
        <v>385</v>
      </c>
      <c r="R6" s="9" t="s">
        <v>386</v>
      </c>
      <c r="S6" s="9" t="s">
        <v>374</v>
      </c>
      <c r="T6" s="9" t="s">
        <v>495</v>
      </c>
      <c r="U6" s="9" t="s">
        <v>495</v>
      </c>
    </row>
    <row r="7" spans="1:21" x14ac:dyDescent="0.35">
      <c r="A7" t="s">
        <v>33</v>
      </c>
      <c r="B7" s="7">
        <v>188</v>
      </c>
      <c r="C7" s="9" t="s">
        <v>268</v>
      </c>
      <c r="D7" s="9" t="s">
        <v>495</v>
      </c>
      <c r="E7" s="9" t="s">
        <v>334</v>
      </c>
      <c r="F7" s="9" t="s">
        <v>154</v>
      </c>
      <c r="G7" s="9" t="s">
        <v>292</v>
      </c>
      <c r="H7" s="9" t="s">
        <v>363</v>
      </c>
      <c r="I7" s="9" t="s">
        <v>495</v>
      </c>
      <c r="J7" s="9" t="s">
        <v>119</v>
      </c>
      <c r="K7" s="9" t="s">
        <v>387</v>
      </c>
      <c r="L7" s="9" t="s">
        <v>201</v>
      </c>
      <c r="M7" s="9" t="s">
        <v>268</v>
      </c>
      <c r="N7" s="9" t="s">
        <v>119</v>
      </c>
      <c r="O7" s="9" t="s">
        <v>327</v>
      </c>
      <c r="P7" s="9" t="s">
        <v>327</v>
      </c>
      <c r="Q7" s="9" t="s">
        <v>388</v>
      </c>
      <c r="R7" s="9" t="s">
        <v>126</v>
      </c>
      <c r="S7" s="9" t="s">
        <v>171</v>
      </c>
      <c r="T7" s="9" t="s">
        <v>119</v>
      </c>
      <c r="U7" s="9" t="s">
        <v>119</v>
      </c>
    </row>
    <row r="8" spans="1:21" x14ac:dyDescent="0.35">
      <c r="A8" t="s">
        <v>37</v>
      </c>
      <c r="B8" s="7">
        <v>170</v>
      </c>
      <c r="C8" s="9" t="s">
        <v>178</v>
      </c>
      <c r="D8" s="9" t="s">
        <v>495</v>
      </c>
      <c r="E8" s="9" t="s">
        <v>144</v>
      </c>
      <c r="F8" s="9" t="s">
        <v>192</v>
      </c>
      <c r="G8" s="9" t="s">
        <v>201</v>
      </c>
      <c r="H8" s="9" t="s">
        <v>496</v>
      </c>
      <c r="I8" s="9" t="s">
        <v>495</v>
      </c>
      <c r="J8" s="9" t="s">
        <v>495</v>
      </c>
      <c r="K8" s="9" t="s">
        <v>253</v>
      </c>
      <c r="L8" s="9" t="s">
        <v>282</v>
      </c>
      <c r="M8" s="9" t="s">
        <v>495</v>
      </c>
      <c r="N8" s="9" t="s">
        <v>96</v>
      </c>
      <c r="O8" s="9" t="s">
        <v>389</v>
      </c>
      <c r="P8" s="9" t="s">
        <v>500</v>
      </c>
      <c r="Q8" s="9" t="s">
        <v>103</v>
      </c>
      <c r="R8" s="9" t="s">
        <v>390</v>
      </c>
      <c r="S8" s="9" t="s">
        <v>391</v>
      </c>
      <c r="T8" s="9" t="s">
        <v>285</v>
      </c>
      <c r="U8" s="9" t="s">
        <v>495</v>
      </c>
    </row>
    <row r="9" spans="1:21" x14ac:dyDescent="0.35">
      <c r="A9" t="s">
        <v>42</v>
      </c>
      <c r="B9" s="7">
        <v>299</v>
      </c>
      <c r="C9" s="9" t="s">
        <v>112</v>
      </c>
      <c r="D9" s="9" t="s">
        <v>495</v>
      </c>
      <c r="E9" s="9" t="s">
        <v>277</v>
      </c>
      <c r="F9" s="9" t="s">
        <v>392</v>
      </c>
      <c r="G9" s="9" t="s">
        <v>117</v>
      </c>
      <c r="H9" s="9" t="s">
        <v>117</v>
      </c>
      <c r="I9" s="9" t="s">
        <v>495</v>
      </c>
      <c r="J9" s="9" t="s">
        <v>495</v>
      </c>
      <c r="K9" s="9" t="s">
        <v>112</v>
      </c>
      <c r="L9" s="9" t="s">
        <v>393</v>
      </c>
      <c r="M9" s="9" t="s">
        <v>190</v>
      </c>
      <c r="N9" s="9" t="s">
        <v>495</v>
      </c>
      <c r="O9" s="9" t="s">
        <v>394</v>
      </c>
      <c r="P9" s="9" t="s">
        <v>309</v>
      </c>
      <c r="Q9" s="9" t="s">
        <v>395</v>
      </c>
      <c r="R9" s="9" t="s">
        <v>396</v>
      </c>
      <c r="S9" s="9" t="s">
        <v>397</v>
      </c>
      <c r="T9" s="9" t="s">
        <v>495</v>
      </c>
      <c r="U9" s="9" t="s">
        <v>495</v>
      </c>
    </row>
    <row r="10" spans="1:21" x14ac:dyDescent="0.35">
      <c r="A10" t="s">
        <v>44</v>
      </c>
      <c r="B10" s="7">
        <v>171</v>
      </c>
      <c r="C10" s="9" t="s">
        <v>104</v>
      </c>
      <c r="D10" s="9" t="s">
        <v>495</v>
      </c>
      <c r="E10" s="9" t="s">
        <v>178</v>
      </c>
      <c r="F10" s="9" t="s">
        <v>183</v>
      </c>
      <c r="G10" s="9" t="s">
        <v>118</v>
      </c>
      <c r="H10" s="9" t="s">
        <v>118</v>
      </c>
      <c r="I10" s="9" t="s">
        <v>495</v>
      </c>
      <c r="J10" s="9" t="s">
        <v>495</v>
      </c>
      <c r="K10" s="9" t="s">
        <v>118</v>
      </c>
      <c r="L10" s="9" t="s">
        <v>155</v>
      </c>
      <c r="M10" s="9" t="s">
        <v>495</v>
      </c>
      <c r="N10" s="9" t="s">
        <v>495</v>
      </c>
      <c r="O10" s="9" t="s">
        <v>372</v>
      </c>
      <c r="P10" s="9" t="s">
        <v>253</v>
      </c>
      <c r="Q10" s="9" t="s">
        <v>398</v>
      </c>
      <c r="R10" s="9" t="s">
        <v>399</v>
      </c>
      <c r="S10" s="9" t="s">
        <v>229</v>
      </c>
      <c r="T10" s="9" t="s">
        <v>104</v>
      </c>
      <c r="U10" s="9" t="s">
        <v>96</v>
      </c>
    </row>
    <row r="11" spans="1:21" x14ac:dyDescent="0.35">
      <c r="A11" t="s">
        <v>45</v>
      </c>
      <c r="B11" s="7">
        <v>170</v>
      </c>
      <c r="C11" s="9" t="s">
        <v>104</v>
      </c>
      <c r="D11" s="9" t="s">
        <v>495</v>
      </c>
      <c r="E11" s="9" t="s">
        <v>80</v>
      </c>
      <c r="F11" s="9" t="s">
        <v>83</v>
      </c>
      <c r="G11" s="9" t="s">
        <v>96</v>
      </c>
      <c r="H11" s="9" t="s">
        <v>96</v>
      </c>
      <c r="I11" s="9" t="s">
        <v>495</v>
      </c>
      <c r="J11" s="9" t="s">
        <v>96</v>
      </c>
      <c r="K11" s="9" t="s">
        <v>167</v>
      </c>
      <c r="L11" s="9" t="s">
        <v>203</v>
      </c>
      <c r="M11" s="9" t="s">
        <v>495</v>
      </c>
      <c r="N11" s="9" t="s">
        <v>495</v>
      </c>
      <c r="O11" s="9" t="s">
        <v>188</v>
      </c>
      <c r="P11" s="9" t="s">
        <v>80</v>
      </c>
      <c r="Q11" s="9" t="s">
        <v>207</v>
      </c>
      <c r="R11" s="9" t="s">
        <v>501</v>
      </c>
      <c r="S11" s="9" t="s">
        <v>178</v>
      </c>
      <c r="T11" s="9" t="s">
        <v>96</v>
      </c>
      <c r="U11" s="9" t="s">
        <v>96</v>
      </c>
    </row>
    <row r="12" spans="1:21" x14ac:dyDescent="0.35">
      <c r="A12" t="s">
        <v>48</v>
      </c>
      <c r="B12" s="7">
        <v>170</v>
      </c>
      <c r="C12" s="9" t="s">
        <v>133</v>
      </c>
      <c r="D12" s="9" t="s">
        <v>495</v>
      </c>
      <c r="E12" s="9" t="s">
        <v>498</v>
      </c>
      <c r="F12" s="9" t="s">
        <v>172</v>
      </c>
      <c r="G12" s="9" t="s">
        <v>495</v>
      </c>
      <c r="H12" s="9" t="s">
        <v>495</v>
      </c>
      <c r="I12" s="9" t="s">
        <v>495</v>
      </c>
      <c r="J12" s="9" t="s">
        <v>495</v>
      </c>
      <c r="K12" s="9" t="s">
        <v>167</v>
      </c>
      <c r="L12" s="9" t="s">
        <v>75</v>
      </c>
      <c r="M12" s="9" t="s">
        <v>133</v>
      </c>
      <c r="N12" s="9" t="s">
        <v>495</v>
      </c>
      <c r="O12" s="9" t="s">
        <v>173</v>
      </c>
      <c r="P12" s="9" t="s">
        <v>253</v>
      </c>
      <c r="Q12" s="9" t="s">
        <v>240</v>
      </c>
      <c r="R12" s="9" t="s">
        <v>400</v>
      </c>
      <c r="S12" s="9" t="s">
        <v>206</v>
      </c>
      <c r="T12" s="9" t="s">
        <v>495</v>
      </c>
      <c r="U12" s="9" t="s">
        <v>495</v>
      </c>
    </row>
    <row r="13" spans="1:21" s="2" customFormat="1" x14ac:dyDescent="0.35">
      <c r="A13" s="4" t="s">
        <v>492</v>
      </c>
      <c r="B13" s="8">
        <v>1964</v>
      </c>
      <c r="C13" s="10" t="s">
        <v>203</v>
      </c>
      <c r="D13" s="10" t="s">
        <v>495</v>
      </c>
      <c r="E13" s="10" t="s">
        <v>207</v>
      </c>
      <c r="F13" s="10" t="s">
        <v>357</v>
      </c>
      <c r="G13" s="10" t="s">
        <v>104</v>
      </c>
      <c r="H13" s="10" t="s">
        <v>363</v>
      </c>
      <c r="I13" s="10" t="s">
        <v>495</v>
      </c>
      <c r="J13" s="10" t="s">
        <v>117</v>
      </c>
      <c r="K13" s="10" t="s">
        <v>76</v>
      </c>
      <c r="L13" s="10" t="s">
        <v>377</v>
      </c>
      <c r="M13" s="10" t="s">
        <v>142</v>
      </c>
      <c r="N13" s="10" t="s">
        <v>218</v>
      </c>
      <c r="O13" s="10" t="s">
        <v>164</v>
      </c>
      <c r="P13" s="10" t="s">
        <v>309</v>
      </c>
      <c r="Q13" s="10" t="s">
        <v>373</v>
      </c>
      <c r="R13" s="10" t="s">
        <v>401</v>
      </c>
      <c r="S13" s="10" t="s">
        <v>402</v>
      </c>
      <c r="T13" s="10" t="s">
        <v>267</v>
      </c>
      <c r="U13" s="10" t="s">
        <v>218</v>
      </c>
    </row>
    <row r="14" spans="1:21" s="2" customFormat="1" x14ac:dyDescent="0.35">
      <c r="A14" s="4" t="s">
        <v>485</v>
      </c>
      <c r="B14" s="8">
        <v>171</v>
      </c>
      <c r="C14" s="10" t="s">
        <v>104</v>
      </c>
      <c r="D14" s="10" t="s">
        <v>495</v>
      </c>
      <c r="E14" s="10" t="s">
        <v>334</v>
      </c>
      <c r="F14" s="10" t="s">
        <v>172</v>
      </c>
      <c r="G14" s="10" t="s">
        <v>96</v>
      </c>
      <c r="H14" s="10" t="s">
        <v>96</v>
      </c>
      <c r="I14" s="10" t="s">
        <v>495</v>
      </c>
      <c r="J14" s="10" t="s">
        <v>495</v>
      </c>
      <c r="K14" s="10" t="s">
        <v>381</v>
      </c>
      <c r="L14" s="10" t="s">
        <v>150</v>
      </c>
      <c r="M14" s="10" t="s">
        <v>495</v>
      </c>
      <c r="N14" s="10" t="s">
        <v>495</v>
      </c>
      <c r="O14" s="10" t="s">
        <v>252</v>
      </c>
      <c r="P14" s="10" t="s">
        <v>377</v>
      </c>
      <c r="Q14" s="10" t="s">
        <v>240</v>
      </c>
      <c r="R14" s="10" t="s">
        <v>378</v>
      </c>
      <c r="S14" s="10" t="s">
        <v>206</v>
      </c>
      <c r="T14" s="10" t="s">
        <v>495</v>
      </c>
      <c r="U14" s="10" t="s">
        <v>495</v>
      </c>
    </row>
    <row r="15" spans="1:21" x14ac:dyDescent="0.35">
      <c r="A15" t="s">
        <v>140</v>
      </c>
      <c r="B15" s="7">
        <v>20</v>
      </c>
      <c r="C15" s="9" t="s">
        <v>495</v>
      </c>
      <c r="D15" s="9" t="s">
        <v>495</v>
      </c>
      <c r="E15" s="9" t="s">
        <v>403</v>
      </c>
      <c r="F15" s="9" t="s">
        <v>504</v>
      </c>
      <c r="G15" s="9" t="s">
        <v>495</v>
      </c>
      <c r="H15" s="9" t="s">
        <v>495</v>
      </c>
      <c r="I15" s="9" t="s">
        <v>495</v>
      </c>
      <c r="J15" s="9" t="s">
        <v>495</v>
      </c>
      <c r="K15" s="9" t="s">
        <v>404</v>
      </c>
      <c r="L15" s="9" t="s">
        <v>495</v>
      </c>
      <c r="M15" s="9" t="s">
        <v>495</v>
      </c>
      <c r="N15" s="9" t="s">
        <v>495</v>
      </c>
      <c r="O15" s="9" t="s">
        <v>153</v>
      </c>
      <c r="P15" s="9" t="s">
        <v>495</v>
      </c>
      <c r="Q15" s="9" t="s">
        <v>497</v>
      </c>
      <c r="R15" s="9" t="s">
        <v>153</v>
      </c>
      <c r="S15" s="9" t="s">
        <v>303</v>
      </c>
      <c r="T15" s="9" t="s">
        <v>495</v>
      </c>
      <c r="U15" s="9" t="s">
        <v>495</v>
      </c>
    </row>
    <row r="16" spans="1:21" x14ac:dyDescent="0.35">
      <c r="A16" t="s">
        <v>141</v>
      </c>
      <c r="B16" s="7">
        <v>190</v>
      </c>
      <c r="C16" s="9" t="s">
        <v>268</v>
      </c>
      <c r="D16" s="9" t="s">
        <v>495</v>
      </c>
      <c r="E16" s="9" t="s">
        <v>405</v>
      </c>
      <c r="F16" s="9" t="s">
        <v>214</v>
      </c>
      <c r="G16" s="9" t="s">
        <v>381</v>
      </c>
      <c r="H16" s="9" t="s">
        <v>381</v>
      </c>
      <c r="I16" s="9" t="s">
        <v>495</v>
      </c>
      <c r="J16" s="9" t="s">
        <v>495</v>
      </c>
      <c r="K16" s="9" t="s">
        <v>161</v>
      </c>
      <c r="L16" s="9" t="s">
        <v>161</v>
      </c>
      <c r="M16" s="9" t="s">
        <v>212</v>
      </c>
      <c r="N16" s="9" t="s">
        <v>495</v>
      </c>
      <c r="O16" s="9" t="s">
        <v>406</v>
      </c>
      <c r="P16" s="9" t="s">
        <v>233</v>
      </c>
      <c r="Q16" s="9" t="s">
        <v>407</v>
      </c>
      <c r="R16" s="9" t="s">
        <v>146</v>
      </c>
      <c r="S16" s="9" t="s">
        <v>77</v>
      </c>
      <c r="T16" s="9" t="s">
        <v>161</v>
      </c>
      <c r="U16" s="9" t="s">
        <v>363</v>
      </c>
    </row>
    <row r="17" spans="1:21" x14ac:dyDescent="0.35">
      <c r="A17" s="4" t="s">
        <v>507</v>
      </c>
      <c r="B17" s="8">
        <v>210</v>
      </c>
      <c r="C17" s="10" t="s">
        <v>220</v>
      </c>
      <c r="D17" s="10" t="s">
        <v>495</v>
      </c>
      <c r="E17" s="10" t="s">
        <v>318</v>
      </c>
      <c r="F17" s="10" t="s">
        <v>408</v>
      </c>
      <c r="G17" s="10" t="s">
        <v>203</v>
      </c>
      <c r="H17" s="10" t="s">
        <v>203</v>
      </c>
      <c r="I17" s="10" t="s">
        <v>495</v>
      </c>
      <c r="J17" s="10" t="s">
        <v>495</v>
      </c>
      <c r="K17" s="10" t="s">
        <v>76</v>
      </c>
      <c r="L17" s="10" t="s">
        <v>167</v>
      </c>
      <c r="M17" s="10" t="s">
        <v>267</v>
      </c>
      <c r="N17" s="10" t="s">
        <v>495</v>
      </c>
      <c r="O17" s="10" t="s">
        <v>397</v>
      </c>
      <c r="P17" s="10" t="s">
        <v>90</v>
      </c>
      <c r="Q17" s="10" t="s">
        <v>397</v>
      </c>
      <c r="R17" s="10" t="s">
        <v>324</v>
      </c>
      <c r="S17" s="10" t="s">
        <v>325</v>
      </c>
      <c r="T17" s="10" t="s">
        <v>167</v>
      </c>
      <c r="U17" s="10" t="s">
        <v>142</v>
      </c>
    </row>
    <row r="18" spans="1:21" s="2" customFormat="1" x14ac:dyDescent="0.35">
      <c r="A18" s="4" t="s">
        <v>494</v>
      </c>
      <c r="B18" s="8">
        <v>2174</v>
      </c>
      <c r="C18" s="10" t="s">
        <v>368</v>
      </c>
      <c r="D18" s="10" t="s">
        <v>495</v>
      </c>
      <c r="E18" s="10" t="s">
        <v>114</v>
      </c>
      <c r="F18" s="10" t="s">
        <v>180</v>
      </c>
      <c r="G18" s="10" t="s">
        <v>220</v>
      </c>
      <c r="H18" s="10" t="s">
        <v>190</v>
      </c>
      <c r="I18" s="10" t="s">
        <v>495</v>
      </c>
      <c r="J18" s="10" t="s">
        <v>117</v>
      </c>
      <c r="K18" s="10" t="s">
        <v>76</v>
      </c>
      <c r="L18" s="10" t="s">
        <v>550</v>
      </c>
      <c r="M18" s="10" t="s">
        <v>116</v>
      </c>
      <c r="N18" s="10" t="s">
        <v>218</v>
      </c>
      <c r="O18" s="10" t="s">
        <v>171</v>
      </c>
      <c r="P18" s="10" t="s">
        <v>410</v>
      </c>
      <c r="Q18" s="10" t="s">
        <v>286</v>
      </c>
      <c r="R18" s="10" t="s">
        <v>411</v>
      </c>
      <c r="S18" s="10" t="s">
        <v>357</v>
      </c>
      <c r="T18" s="10" t="s">
        <v>212</v>
      </c>
      <c r="U18" s="10" t="s">
        <v>117</v>
      </c>
    </row>
    <row r="19" spans="1:21" s="2" customFormat="1" x14ac:dyDescent="0.35">
      <c r="A19" s="4" t="s">
        <v>493</v>
      </c>
      <c r="B19" s="8">
        <v>171</v>
      </c>
      <c r="C19" s="10" t="s">
        <v>104</v>
      </c>
      <c r="D19" s="10" t="s">
        <v>495</v>
      </c>
      <c r="E19" s="10" t="s">
        <v>375</v>
      </c>
      <c r="F19" s="10" t="s">
        <v>214</v>
      </c>
      <c r="G19" s="10" t="s">
        <v>96</v>
      </c>
      <c r="H19" s="10" t="s">
        <v>96</v>
      </c>
      <c r="I19" s="10" t="s">
        <v>495</v>
      </c>
      <c r="J19" s="10" t="s">
        <v>495</v>
      </c>
      <c r="K19" s="10" t="s">
        <v>381</v>
      </c>
      <c r="L19" s="10" t="s">
        <v>75</v>
      </c>
      <c r="M19" s="10" t="s">
        <v>495</v>
      </c>
      <c r="N19" s="10" t="s">
        <v>495</v>
      </c>
      <c r="O19" s="10" t="s">
        <v>173</v>
      </c>
      <c r="P19" s="10" t="s">
        <v>253</v>
      </c>
      <c r="Q19" s="10" t="s">
        <v>240</v>
      </c>
      <c r="R19" s="10" t="s">
        <v>378</v>
      </c>
      <c r="S19" s="10" t="s">
        <v>206</v>
      </c>
      <c r="T19" s="10" t="s">
        <v>495</v>
      </c>
      <c r="U19" s="10" t="s">
        <v>495</v>
      </c>
    </row>
    <row r="29" spans="1:21" x14ac:dyDescent="0.35">
      <c r="B29" s="11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x14ac:dyDescent="0.35">
      <c r="U30" s="3"/>
    </row>
  </sheetData>
  <autoFilter ref="A1:U1" xr:uid="{00000000-0001-0000-0100-000000000000}"/>
  <pageMargins left="0.7" right="0.7" top="0.75" bottom="0.75" header="0.3" footer="0.3"/>
  <pageSetup paperSize="9" scale="4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U38"/>
  <sheetViews>
    <sheetView zoomScaleNormal="100" workbookViewId="0">
      <selection activeCell="A16" sqref="A16"/>
    </sheetView>
  </sheetViews>
  <sheetFormatPr defaultColWidth="9.1796875" defaultRowHeight="14.5" x14ac:dyDescent="0.35"/>
  <cols>
    <col min="1" max="1" width="63" customWidth="1"/>
    <col min="20" max="20" width="41.1796875" bestFit="1" customWidth="1"/>
    <col min="21" max="21" width="43.54296875" bestFit="1" customWidth="1"/>
  </cols>
  <sheetData>
    <row r="1" spans="1:21" s="1" customFormat="1" x14ac:dyDescent="0.35">
      <c r="A1" s="30" t="s">
        <v>4</v>
      </c>
      <c r="B1" s="30" t="s">
        <v>5</v>
      </c>
      <c r="C1" s="30" t="s">
        <v>6</v>
      </c>
      <c r="D1" s="30" t="s">
        <v>7</v>
      </c>
      <c r="E1" s="30" t="s">
        <v>8</v>
      </c>
      <c r="F1" s="30" t="s">
        <v>9</v>
      </c>
      <c r="G1" s="30" t="s">
        <v>10</v>
      </c>
      <c r="H1" s="30" t="s">
        <v>11</v>
      </c>
      <c r="I1" s="30" t="s">
        <v>12</v>
      </c>
      <c r="J1" s="30" t="s">
        <v>13</v>
      </c>
      <c r="K1" s="30" t="s">
        <v>14</v>
      </c>
      <c r="L1" s="30" t="s">
        <v>15</v>
      </c>
      <c r="M1" s="30" t="s">
        <v>16</v>
      </c>
      <c r="N1" s="30" t="s">
        <v>17</v>
      </c>
      <c r="O1" s="30" t="s">
        <v>18</v>
      </c>
      <c r="P1" s="30" t="s">
        <v>19</v>
      </c>
      <c r="Q1" s="30" t="s">
        <v>20</v>
      </c>
      <c r="R1" s="30" t="s">
        <v>21</v>
      </c>
      <c r="S1" s="30" t="s">
        <v>22</v>
      </c>
      <c r="T1" s="30" t="s">
        <v>23</v>
      </c>
      <c r="U1" s="30" t="s">
        <v>135</v>
      </c>
    </row>
    <row r="2" spans="1:21" x14ac:dyDescent="0.35">
      <c r="A2" s="31" t="s">
        <v>24</v>
      </c>
      <c r="B2" s="32">
        <v>199</v>
      </c>
      <c r="C2" s="32">
        <v>4.5</v>
      </c>
      <c r="D2" s="32" t="s">
        <v>495</v>
      </c>
      <c r="E2" s="32" t="s">
        <v>217</v>
      </c>
      <c r="F2" s="32" t="s">
        <v>556</v>
      </c>
      <c r="G2" s="32" t="s">
        <v>267</v>
      </c>
      <c r="H2" s="32" t="s">
        <v>211</v>
      </c>
      <c r="I2" s="32" t="s">
        <v>495</v>
      </c>
      <c r="J2" s="32" t="s">
        <v>495</v>
      </c>
      <c r="K2" s="32" t="s">
        <v>182</v>
      </c>
      <c r="L2" s="32" t="s">
        <v>421</v>
      </c>
      <c r="M2" s="32" t="s">
        <v>495</v>
      </c>
      <c r="N2" s="32" t="s">
        <v>495</v>
      </c>
      <c r="O2" s="32" t="s">
        <v>557</v>
      </c>
      <c r="P2" s="32" t="s">
        <v>66</v>
      </c>
      <c r="Q2" s="32" t="s">
        <v>272</v>
      </c>
      <c r="R2" s="32" t="s">
        <v>323</v>
      </c>
      <c r="S2" s="32" t="s">
        <v>558</v>
      </c>
      <c r="T2" s="32" t="s">
        <v>119</v>
      </c>
      <c r="U2" s="32" t="s">
        <v>495</v>
      </c>
    </row>
    <row r="3" spans="1:21" x14ac:dyDescent="0.35">
      <c r="A3" s="31" t="s">
        <v>25</v>
      </c>
      <c r="B3" s="32">
        <v>170</v>
      </c>
      <c r="C3" s="32" t="s">
        <v>75</v>
      </c>
      <c r="D3" s="32" t="s">
        <v>495</v>
      </c>
      <c r="E3" s="32" t="s">
        <v>125</v>
      </c>
      <c r="F3" s="32" t="s">
        <v>266</v>
      </c>
      <c r="G3" s="32" t="s">
        <v>104</v>
      </c>
      <c r="H3" s="32" t="s">
        <v>167</v>
      </c>
      <c r="I3" s="32" t="s">
        <v>495</v>
      </c>
      <c r="J3" s="32" t="s">
        <v>495</v>
      </c>
      <c r="K3" s="32" t="s">
        <v>148</v>
      </c>
      <c r="L3" s="32" t="s">
        <v>418</v>
      </c>
      <c r="M3" s="32" t="s">
        <v>118</v>
      </c>
      <c r="N3" s="32" t="s">
        <v>495</v>
      </c>
      <c r="O3" s="32" t="s">
        <v>436</v>
      </c>
      <c r="P3" s="32" t="s">
        <v>287</v>
      </c>
      <c r="Q3" s="32" t="s">
        <v>204</v>
      </c>
      <c r="R3" s="32" t="s">
        <v>207</v>
      </c>
      <c r="S3" s="32" t="s">
        <v>439</v>
      </c>
      <c r="T3" s="32" t="s">
        <v>104</v>
      </c>
      <c r="U3" s="32" t="s">
        <v>495</v>
      </c>
    </row>
    <row r="4" spans="1:21" x14ac:dyDescent="0.35">
      <c r="A4" s="31" t="s">
        <v>26</v>
      </c>
      <c r="B4" s="32">
        <v>85</v>
      </c>
      <c r="C4" s="32" t="s">
        <v>81</v>
      </c>
      <c r="D4" s="32" t="s">
        <v>133</v>
      </c>
      <c r="E4" s="32" t="s">
        <v>291</v>
      </c>
      <c r="F4" s="32" t="s">
        <v>289</v>
      </c>
      <c r="G4" s="32" t="s">
        <v>495</v>
      </c>
      <c r="H4" s="32" t="s">
        <v>495</v>
      </c>
      <c r="I4" s="32" t="s">
        <v>495</v>
      </c>
      <c r="J4" s="32" t="s">
        <v>133</v>
      </c>
      <c r="K4" s="32" t="s">
        <v>559</v>
      </c>
      <c r="L4" s="32" t="s">
        <v>419</v>
      </c>
      <c r="M4" s="32" t="s">
        <v>80</v>
      </c>
      <c r="N4" s="32" t="s">
        <v>118</v>
      </c>
      <c r="O4" s="32" t="s">
        <v>560</v>
      </c>
      <c r="P4" s="32" t="s">
        <v>439</v>
      </c>
      <c r="Q4" s="32" t="s">
        <v>440</v>
      </c>
      <c r="R4" s="32" t="s">
        <v>495</v>
      </c>
      <c r="S4" s="32" t="s">
        <v>559</v>
      </c>
      <c r="T4" s="32" t="s">
        <v>495</v>
      </c>
      <c r="U4" s="32" t="s">
        <v>495</v>
      </c>
    </row>
    <row r="5" spans="1:21" x14ac:dyDescent="0.35">
      <c r="A5" s="31" t="s">
        <v>27</v>
      </c>
      <c r="B5" s="32">
        <v>85</v>
      </c>
      <c r="C5" s="32" t="s">
        <v>67</v>
      </c>
      <c r="D5" s="32" t="s">
        <v>495</v>
      </c>
      <c r="E5" s="32" t="s">
        <v>285</v>
      </c>
      <c r="F5" s="32" t="s">
        <v>175</v>
      </c>
      <c r="G5" s="32" t="s">
        <v>495</v>
      </c>
      <c r="H5" s="32" t="s">
        <v>495</v>
      </c>
      <c r="I5" s="32" t="s">
        <v>495</v>
      </c>
      <c r="J5" s="32" t="s">
        <v>495</v>
      </c>
      <c r="K5" s="32" t="s">
        <v>561</v>
      </c>
      <c r="L5" s="32" t="s">
        <v>561</v>
      </c>
      <c r="M5" s="32" t="s">
        <v>495</v>
      </c>
      <c r="N5" s="32" t="s">
        <v>495</v>
      </c>
      <c r="O5" s="32" t="s">
        <v>85</v>
      </c>
      <c r="P5" s="32" t="s">
        <v>424</v>
      </c>
      <c r="Q5" s="32" t="s">
        <v>497</v>
      </c>
      <c r="R5" s="32" t="s">
        <v>285</v>
      </c>
      <c r="S5" s="32" t="s">
        <v>115</v>
      </c>
      <c r="T5" s="32" t="s">
        <v>495</v>
      </c>
      <c r="U5" s="32" t="s">
        <v>495</v>
      </c>
    </row>
    <row r="6" spans="1:21" x14ac:dyDescent="0.35">
      <c r="A6" s="31" t="s">
        <v>28</v>
      </c>
      <c r="B6" s="32">
        <v>120</v>
      </c>
      <c r="C6" s="32" t="s">
        <v>93</v>
      </c>
      <c r="D6" s="32" t="s">
        <v>495</v>
      </c>
      <c r="E6" s="32" t="s">
        <v>128</v>
      </c>
      <c r="F6" s="32" t="s">
        <v>562</v>
      </c>
      <c r="G6" s="32" t="s">
        <v>370</v>
      </c>
      <c r="H6" s="32" t="s">
        <v>476</v>
      </c>
      <c r="I6" s="32" t="s">
        <v>495</v>
      </c>
      <c r="J6" s="32" t="s">
        <v>495</v>
      </c>
      <c r="K6" s="32" t="s">
        <v>563</v>
      </c>
      <c r="L6" s="32" t="s">
        <v>562</v>
      </c>
      <c r="M6" s="32" t="s">
        <v>495</v>
      </c>
      <c r="N6" s="32" t="s">
        <v>495</v>
      </c>
      <c r="O6" s="32" t="s">
        <v>564</v>
      </c>
      <c r="P6" s="32" t="s">
        <v>246</v>
      </c>
      <c r="Q6" s="32" t="s">
        <v>565</v>
      </c>
      <c r="R6" s="32" t="s">
        <v>93</v>
      </c>
      <c r="S6" s="32" t="s">
        <v>566</v>
      </c>
      <c r="T6" s="32" t="s">
        <v>370</v>
      </c>
      <c r="U6" s="32" t="s">
        <v>476</v>
      </c>
    </row>
    <row r="7" spans="1:21" x14ac:dyDescent="0.35">
      <c r="A7" s="31" t="s">
        <v>29</v>
      </c>
      <c r="B7" s="32">
        <v>178</v>
      </c>
      <c r="C7" s="32" t="s">
        <v>190</v>
      </c>
      <c r="D7" s="32" t="s">
        <v>495</v>
      </c>
      <c r="E7" s="32" t="s">
        <v>186</v>
      </c>
      <c r="F7" s="32" t="s">
        <v>424</v>
      </c>
      <c r="G7" s="32" t="s">
        <v>96</v>
      </c>
      <c r="H7" s="32" t="s">
        <v>96</v>
      </c>
      <c r="I7" s="32" t="s">
        <v>495</v>
      </c>
      <c r="J7" s="32" t="s">
        <v>495</v>
      </c>
      <c r="K7" s="32" t="s">
        <v>567</v>
      </c>
      <c r="L7" s="32" t="s">
        <v>568</v>
      </c>
      <c r="M7" s="32" t="s">
        <v>96</v>
      </c>
      <c r="N7" s="32" t="s">
        <v>495</v>
      </c>
      <c r="O7" s="32" t="s">
        <v>430</v>
      </c>
      <c r="P7" s="32" t="s">
        <v>356</v>
      </c>
      <c r="Q7" s="32" t="s">
        <v>416</v>
      </c>
      <c r="R7" s="32" t="s">
        <v>183</v>
      </c>
      <c r="S7" s="32" t="s">
        <v>274</v>
      </c>
      <c r="T7" s="32" t="s">
        <v>96</v>
      </c>
      <c r="U7" s="32" t="s">
        <v>495</v>
      </c>
    </row>
    <row r="8" spans="1:21" x14ac:dyDescent="0.35">
      <c r="A8" s="31" t="s">
        <v>30</v>
      </c>
      <c r="B8" s="32">
        <v>173</v>
      </c>
      <c r="C8" s="32" t="s">
        <v>190</v>
      </c>
      <c r="D8" s="32" t="s">
        <v>133</v>
      </c>
      <c r="E8" s="32" t="s">
        <v>495</v>
      </c>
      <c r="F8" s="32" t="s">
        <v>444</v>
      </c>
      <c r="G8" s="32" t="s">
        <v>495</v>
      </c>
      <c r="H8" s="32" t="s">
        <v>495</v>
      </c>
      <c r="I8" s="32" t="s">
        <v>495</v>
      </c>
      <c r="J8" s="32" t="s">
        <v>495</v>
      </c>
      <c r="K8" s="32" t="s">
        <v>569</v>
      </c>
      <c r="L8" s="32" t="s">
        <v>434</v>
      </c>
      <c r="M8" s="32" t="s">
        <v>96</v>
      </c>
      <c r="N8" s="32" t="s">
        <v>495</v>
      </c>
      <c r="O8" s="32" t="s">
        <v>325</v>
      </c>
      <c r="P8" s="32" t="s">
        <v>454</v>
      </c>
      <c r="Q8" s="32" t="s">
        <v>387</v>
      </c>
      <c r="R8" s="32" t="s">
        <v>570</v>
      </c>
      <c r="S8" s="32" t="s">
        <v>571</v>
      </c>
      <c r="T8" s="32" t="s">
        <v>495</v>
      </c>
      <c r="U8" s="32" t="s">
        <v>495</v>
      </c>
    </row>
    <row r="9" spans="1:21" x14ac:dyDescent="0.35">
      <c r="A9" s="31" t="s">
        <v>31</v>
      </c>
      <c r="B9" s="32">
        <v>152</v>
      </c>
      <c r="C9" s="32" t="s">
        <v>293</v>
      </c>
      <c r="D9" s="32" t="s">
        <v>293</v>
      </c>
      <c r="E9" s="32" t="s">
        <v>213</v>
      </c>
      <c r="F9" s="32" t="s">
        <v>77</v>
      </c>
      <c r="G9" s="32" t="s">
        <v>161</v>
      </c>
      <c r="H9" s="32" t="s">
        <v>161</v>
      </c>
      <c r="I9" s="32" t="s">
        <v>495</v>
      </c>
      <c r="J9" s="32" t="s">
        <v>495</v>
      </c>
      <c r="K9" s="32" t="s">
        <v>482</v>
      </c>
      <c r="L9" s="32" t="s">
        <v>482</v>
      </c>
      <c r="M9" s="32" t="s">
        <v>293</v>
      </c>
      <c r="N9" s="32" t="s">
        <v>293</v>
      </c>
      <c r="O9" s="32" t="s">
        <v>468</v>
      </c>
      <c r="P9" s="32" t="s">
        <v>184</v>
      </c>
      <c r="Q9" s="32" t="s">
        <v>572</v>
      </c>
      <c r="R9" s="32" t="s">
        <v>296</v>
      </c>
      <c r="S9" s="32" t="s">
        <v>573</v>
      </c>
      <c r="T9" s="32" t="s">
        <v>213</v>
      </c>
      <c r="U9" s="32" t="s">
        <v>293</v>
      </c>
    </row>
    <row r="10" spans="1:21" x14ac:dyDescent="0.35">
      <c r="A10" s="31" t="s">
        <v>136</v>
      </c>
      <c r="B10" s="32">
        <v>170</v>
      </c>
      <c r="C10" s="32" t="s">
        <v>133</v>
      </c>
      <c r="D10" s="32" t="s">
        <v>495</v>
      </c>
      <c r="E10" s="32" t="s">
        <v>495</v>
      </c>
      <c r="F10" s="32" t="s">
        <v>203</v>
      </c>
      <c r="G10" s="32" t="s">
        <v>495</v>
      </c>
      <c r="H10" s="32" t="s">
        <v>495</v>
      </c>
      <c r="I10" s="32" t="s">
        <v>495</v>
      </c>
      <c r="J10" s="32" t="s">
        <v>495</v>
      </c>
      <c r="K10" s="32" t="s">
        <v>167</v>
      </c>
      <c r="L10" s="32" t="s">
        <v>167</v>
      </c>
      <c r="M10" s="32" t="s">
        <v>495</v>
      </c>
      <c r="N10" s="32" t="s">
        <v>495</v>
      </c>
      <c r="O10" s="32" t="s">
        <v>107</v>
      </c>
      <c r="P10" s="32" t="s">
        <v>167</v>
      </c>
      <c r="Q10" s="32" t="s">
        <v>496</v>
      </c>
      <c r="R10" s="32" t="s">
        <v>82</v>
      </c>
      <c r="S10" s="32" t="s">
        <v>133</v>
      </c>
      <c r="T10" s="32" t="s">
        <v>495</v>
      </c>
      <c r="U10" s="32" t="s">
        <v>495</v>
      </c>
    </row>
    <row r="11" spans="1:21" x14ac:dyDescent="0.35">
      <c r="A11" s="31" t="s">
        <v>32</v>
      </c>
      <c r="B11" s="32">
        <v>220</v>
      </c>
      <c r="C11" s="32" t="s">
        <v>105</v>
      </c>
      <c r="D11" s="32" t="s">
        <v>495</v>
      </c>
      <c r="E11" s="32" t="s">
        <v>290</v>
      </c>
      <c r="F11" s="32" t="s">
        <v>282</v>
      </c>
      <c r="G11" s="32" t="s">
        <v>119</v>
      </c>
      <c r="H11" s="32" t="s">
        <v>119</v>
      </c>
      <c r="I11" s="32" t="s">
        <v>495</v>
      </c>
      <c r="J11" s="32" t="s">
        <v>495</v>
      </c>
      <c r="K11" s="32" t="s">
        <v>458</v>
      </c>
      <c r="L11" s="32" t="s">
        <v>458</v>
      </c>
      <c r="M11" s="32" t="s">
        <v>119</v>
      </c>
      <c r="N11" s="32" t="s">
        <v>495</v>
      </c>
      <c r="O11" s="32" t="s">
        <v>113</v>
      </c>
      <c r="P11" s="32" t="s">
        <v>222</v>
      </c>
      <c r="Q11" s="32" t="s">
        <v>574</v>
      </c>
      <c r="R11" s="32" t="s">
        <v>447</v>
      </c>
      <c r="S11" s="32" t="s">
        <v>574</v>
      </c>
      <c r="T11" s="32" t="s">
        <v>495</v>
      </c>
      <c r="U11" s="32" t="s">
        <v>495</v>
      </c>
    </row>
    <row r="12" spans="1:21" x14ac:dyDescent="0.35">
      <c r="A12" s="31" t="s">
        <v>33</v>
      </c>
      <c r="B12" s="32">
        <v>245</v>
      </c>
      <c r="C12" s="32" t="s">
        <v>131</v>
      </c>
      <c r="D12" s="32" t="s">
        <v>495</v>
      </c>
      <c r="E12" s="32" t="s">
        <v>110</v>
      </c>
      <c r="F12" s="32" t="s">
        <v>575</v>
      </c>
      <c r="G12" s="32" t="s">
        <v>133</v>
      </c>
      <c r="H12" s="32" t="s">
        <v>133</v>
      </c>
      <c r="I12" s="32" t="s">
        <v>495</v>
      </c>
      <c r="J12" s="32" t="s">
        <v>495</v>
      </c>
      <c r="K12" s="32" t="s">
        <v>576</v>
      </c>
      <c r="L12" s="32" t="s">
        <v>478</v>
      </c>
      <c r="M12" s="32" t="s">
        <v>387</v>
      </c>
      <c r="N12" s="32" t="s">
        <v>363</v>
      </c>
      <c r="O12" s="32" t="s">
        <v>441</v>
      </c>
      <c r="P12" s="32" t="s">
        <v>181</v>
      </c>
      <c r="Q12" s="32" t="s">
        <v>310</v>
      </c>
      <c r="R12" s="32" t="s">
        <v>88</v>
      </c>
      <c r="S12" s="32" t="s">
        <v>443</v>
      </c>
      <c r="T12" s="32" t="s">
        <v>495</v>
      </c>
      <c r="U12" s="32" t="s">
        <v>495</v>
      </c>
    </row>
    <row r="13" spans="1:21" x14ac:dyDescent="0.35">
      <c r="A13" s="31" t="s">
        <v>34</v>
      </c>
      <c r="B13" s="32">
        <v>170</v>
      </c>
      <c r="C13" s="32" t="s">
        <v>125</v>
      </c>
      <c r="D13" s="32" t="s">
        <v>495</v>
      </c>
      <c r="E13" s="32" t="s">
        <v>234</v>
      </c>
      <c r="F13" s="32" t="s">
        <v>577</v>
      </c>
      <c r="G13" s="32" t="s">
        <v>133</v>
      </c>
      <c r="H13" s="32" t="s">
        <v>133</v>
      </c>
      <c r="I13" s="32" t="s">
        <v>495</v>
      </c>
      <c r="J13" s="32" t="s">
        <v>495</v>
      </c>
      <c r="K13" s="32" t="s">
        <v>561</v>
      </c>
      <c r="L13" s="32" t="s">
        <v>503</v>
      </c>
      <c r="M13" s="32" t="s">
        <v>75</v>
      </c>
      <c r="N13" s="32" t="s">
        <v>495</v>
      </c>
      <c r="O13" s="32" t="s">
        <v>199</v>
      </c>
      <c r="P13" s="32" t="s">
        <v>578</v>
      </c>
      <c r="Q13" s="32" t="s">
        <v>200</v>
      </c>
      <c r="R13" s="32" t="s">
        <v>118</v>
      </c>
      <c r="S13" s="32" t="s">
        <v>195</v>
      </c>
      <c r="T13" s="32" t="s">
        <v>133</v>
      </c>
      <c r="U13" s="32" t="s">
        <v>133</v>
      </c>
    </row>
    <row r="14" spans="1:21" x14ac:dyDescent="0.35">
      <c r="A14" s="31" t="s">
        <v>35</v>
      </c>
      <c r="B14" s="32">
        <v>188</v>
      </c>
      <c r="C14" s="32" t="s">
        <v>111</v>
      </c>
      <c r="D14" s="32" t="s">
        <v>495</v>
      </c>
      <c r="E14" s="32" t="s">
        <v>191</v>
      </c>
      <c r="F14" s="32" t="s">
        <v>241</v>
      </c>
      <c r="G14" s="32" t="s">
        <v>212</v>
      </c>
      <c r="H14" s="32" t="s">
        <v>495</v>
      </c>
      <c r="I14" s="32" t="s">
        <v>495</v>
      </c>
      <c r="J14" s="32" t="s">
        <v>650</v>
      </c>
      <c r="K14" s="32" t="s">
        <v>651</v>
      </c>
      <c r="L14" s="32" t="s">
        <v>652</v>
      </c>
      <c r="M14" s="32" t="s">
        <v>495</v>
      </c>
      <c r="N14" s="32" t="s">
        <v>495</v>
      </c>
      <c r="O14" s="32" t="s">
        <v>383</v>
      </c>
      <c r="P14" s="32" t="s">
        <v>653</v>
      </c>
      <c r="Q14" s="32" t="s">
        <v>328</v>
      </c>
      <c r="R14" s="32" t="s">
        <v>334</v>
      </c>
      <c r="S14" s="32" t="s">
        <v>602</v>
      </c>
      <c r="T14" s="32" t="s">
        <v>212</v>
      </c>
      <c r="U14" s="32" t="s">
        <v>119</v>
      </c>
    </row>
    <row r="15" spans="1:21" x14ac:dyDescent="0.35">
      <c r="A15" s="31" t="s">
        <v>36</v>
      </c>
      <c r="B15" s="32">
        <v>170</v>
      </c>
      <c r="C15" s="32" t="s">
        <v>133</v>
      </c>
      <c r="D15" s="32" t="s">
        <v>495</v>
      </c>
      <c r="E15" s="32" t="s">
        <v>70</v>
      </c>
      <c r="F15" s="32" t="s">
        <v>144</v>
      </c>
      <c r="G15" s="32" t="s">
        <v>495</v>
      </c>
      <c r="H15" s="32" t="s">
        <v>495</v>
      </c>
      <c r="I15" s="32" t="s">
        <v>495</v>
      </c>
      <c r="J15" s="32" t="s">
        <v>495</v>
      </c>
      <c r="K15" s="32" t="s">
        <v>71</v>
      </c>
      <c r="L15" s="32" t="s">
        <v>498</v>
      </c>
      <c r="M15" s="32" t="s">
        <v>96</v>
      </c>
      <c r="N15" s="32" t="s">
        <v>495</v>
      </c>
      <c r="O15" s="32" t="s">
        <v>430</v>
      </c>
      <c r="P15" s="32" t="s">
        <v>579</v>
      </c>
      <c r="Q15" s="32" t="s">
        <v>106</v>
      </c>
      <c r="R15" s="32" t="s">
        <v>284</v>
      </c>
      <c r="S15" s="32" t="s">
        <v>239</v>
      </c>
      <c r="T15" s="32" t="s">
        <v>495</v>
      </c>
      <c r="U15" s="32" t="s">
        <v>495</v>
      </c>
    </row>
    <row r="16" spans="1:21" x14ac:dyDescent="0.35">
      <c r="A16" s="31" t="s">
        <v>37</v>
      </c>
      <c r="B16" s="32">
        <v>170</v>
      </c>
      <c r="C16" s="32" t="s">
        <v>95</v>
      </c>
      <c r="D16" s="32" t="s">
        <v>495</v>
      </c>
      <c r="E16" s="32" t="s">
        <v>580</v>
      </c>
      <c r="F16" s="32" t="s">
        <v>500</v>
      </c>
      <c r="G16" s="32" t="s">
        <v>495</v>
      </c>
      <c r="H16" s="32" t="s">
        <v>495</v>
      </c>
      <c r="I16" s="32" t="s">
        <v>495</v>
      </c>
      <c r="J16" s="32" t="s">
        <v>96</v>
      </c>
      <c r="K16" s="32" t="s">
        <v>418</v>
      </c>
      <c r="L16" s="32" t="s">
        <v>205</v>
      </c>
      <c r="M16" s="32" t="s">
        <v>495</v>
      </c>
      <c r="N16" s="32" t="s">
        <v>96</v>
      </c>
      <c r="O16" s="32" t="s">
        <v>148</v>
      </c>
      <c r="P16" s="32" t="s">
        <v>328</v>
      </c>
      <c r="Q16" s="32" t="s">
        <v>168</v>
      </c>
      <c r="R16" s="32" t="s">
        <v>580</v>
      </c>
      <c r="S16" s="32" t="s">
        <v>168</v>
      </c>
      <c r="T16" s="32" t="s">
        <v>495</v>
      </c>
      <c r="U16" s="32" t="s">
        <v>495</v>
      </c>
    </row>
    <row r="17" spans="1:21" x14ac:dyDescent="0.35">
      <c r="A17" s="31" t="s">
        <v>38</v>
      </c>
      <c r="B17" s="32">
        <v>150</v>
      </c>
      <c r="C17" s="32" t="s">
        <v>293</v>
      </c>
      <c r="D17" s="32" t="s">
        <v>495</v>
      </c>
      <c r="E17" s="32" t="s">
        <v>480</v>
      </c>
      <c r="F17" s="32" t="s">
        <v>410</v>
      </c>
      <c r="G17" s="32" t="s">
        <v>213</v>
      </c>
      <c r="H17" s="32" t="s">
        <v>213</v>
      </c>
      <c r="I17" s="32" t="s">
        <v>495</v>
      </c>
      <c r="J17" s="32" t="s">
        <v>495</v>
      </c>
      <c r="K17" s="32" t="s">
        <v>497</v>
      </c>
      <c r="L17" s="32" t="s">
        <v>246</v>
      </c>
      <c r="M17" s="32" t="s">
        <v>495</v>
      </c>
      <c r="N17" s="32" t="s">
        <v>495</v>
      </c>
      <c r="O17" s="32" t="s">
        <v>556</v>
      </c>
      <c r="P17" s="32" t="s">
        <v>581</v>
      </c>
      <c r="Q17" s="32" t="s">
        <v>248</v>
      </c>
      <c r="R17" s="32" t="s">
        <v>295</v>
      </c>
      <c r="S17" s="32" t="s">
        <v>462</v>
      </c>
      <c r="T17" s="32" t="s">
        <v>213</v>
      </c>
      <c r="U17" s="32" t="s">
        <v>213</v>
      </c>
    </row>
    <row r="18" spans="1:21" x14ac:dyDescent="0.35">
      <c r="A18" s="31" t="s">
        <v>39</v>
      </c>
      <c r="B18" s="32">
        <v>100</v>
      </c>
      <c r="C18" s="32" t="s">
        <v>376</v>
      </c>
      <c r="D18" s="32" t="s">
        <v>495</v>
      </c>
      <c r="E18" s="32" t="s">
        <v>280</v>
      </c>
      <c r="F18" s="32" t="s">
        <v>582</v>
      </c>
      <c r="G18" s="32" t="s">
        <v>213</v>
      </c>
      <c r="H18" s="32" t="s">
        <v>213</v>
      </c>
      <c r="I18" s="32" t="s">
        <v>495</v>
      </c>
      <c r="J18" s="32" t="s">
        <v>495</v>
      </c>
      <c r="K18" s="32" t="s">
        <v>501</v>
      </c>
      <c r="L18" s="32" t="s">
        <v>583</v>
      </c>
      <c r="M18" s="32" t="s">
        <v>267</v>
      </c>
      <c r="N18" s="32" t="s">
        <v>495</v>
      </c>
      <c r="O18" s="32" t="s">
        <v>584</v>
      </c>
      <c r="P18" s="32" t="s">
        <v>422</v>
      </c>
      <c r="Q18" s="32" t="s">
        <v>433</v>
      </c>
      <c r="R18" s="32" t="s">
        <v>403</v>
      </c>
      <c r="S18" s="32" t="s">
        <v>583</v>
      </c>
      <c r="T18" s="32" t="s">
        <v>267</v>
      </c>
      <c r="U18" s="32" t="s">
        <v>495</v>
      </c>
    </row>
    <row r="19" spans="1:21" x14ac:dyDescent="0.35">
      <c r="A19" s="31" t="s">
        <v>40</v>
      </c>
      <c r="B19" s="32">
        <v>33</v>
      </c>
      <c r="C19" s="32" t="s">
        <v>353</v>
      </c>
      <c r="D19" s="32" t="s">
        <v>495</v>
      </c>
      <c r="E19" s="32" t="s">
        <v>585</v>
      </c>
      <c r="F19" s="32" t="s">
        <v>106</v>
      </c>
      <c r="G19" s="32" t="s">
        <v>495</v>
      </c>
      <c r="H19" s="32" t="s">
        <v>495</v>
      </c>
      <c r="I19" s="32" t="s">
        <v>495</v>
      </c>
      <c r="J19" s="32" t="s">
        <v>495</v>
      </c>
      <c r="K19" s="32" t="s">
        <v>585</v>
      </c>
      <c r="L19" s="32" t="s">
        <v>585</v>
      </c>
      <c r="M19" s="32" t="s">
        <v>495</v>
      </c>
      <c r="N19" s="32" t="s">
        <v>495</v>
      </c>
      <c r="O19" s="32" t="s">
        <v>106</v>
      </c>
      <c r="P19" s="32" t="s">
        <v>102</v>
      </c>
      <c r="Q19" s="32" t="s">
        <v>106</v>
      </c>
      <c r="R19" s="32" t="s">
        <v>189</v>
      </c>
      <c r="S19" s="32" t="s">
        <v>455</v>
      </c>
      <c r="T19" s="32" t="s">
        <v>495</v>
      </c>
      <c r="U19" s="32" t="s">
        <v>495</v>
      </c>
    </row>
    <row r="20" spans="1:21" x14ac:dyDescent="0.35">
      <c r="A20" s="31" t="s">
        <v>41</v>
      </c>
      <c r="B20" s="32">
        <v>170</v>
      </c>
      <c r="C20" s="32" t="s">
        <v>203</v>
      </c>
      <c r="D20" s="32" t="s">
        <v>203</v>
      </c>
      <c r="E20" s="32" t="s">
        <v>426</v>
      </c>
      <c r="F20" s="32" t="s">
        <v>586</v>
      </c>
      <c r="G20" s="32" t="s">
        <v>203</v>
      </c>
      <c r="H20" s="32" t="s">
        <v>203</v>
      </c>
      <c r="I20" s="32" t="s">
        <v>495</v>
      </c>
      <c r="J20" s="32" t="s">
        <v>104</v>
      </c>
      <c r="K20" s="32" t="s">
        <v>68</v>
      </c>
      <c r="L20" s="32" t="s">
        <v>205</v>
      </c>
      <c r="M20" s="32" t="s">
        <v>67</v>
      </c>
      <c r="N20" s="32" t="s">
        <v>495</v>
      </c>
      <c r="O20" s="32" t="s">
        <v>587</v>
      </c>
      <c r="P20" s="32" t="s">
        <v>174</v>
      </c>
      <c r="Q20" s="32" t="s">
        <v>436</v>
      </c>
      <c r="R20" s="32" t="s">
        <v>183</v>
      </c>
      <c r="S20" s="32" t="s">
        <v>200</v>
      </c>
      <c r="T20" s="32" t="s">
        <v>96</v>
      </c>
      <c r="U20" s="32" t="s">
        <v>495</v>
      </c>
    </row>
    <row r="21" spans="1:21" x14ac:dyDescent="0.35">
      <c r="A21" s="31" t="s">
        <v>42</v>
      </c>
      <c r="B21" s="32">
        <v>301</v>
      </c>
      <c r="C21" s="32" t="s">
        <v>116</v>
      </c>
      <c r="D21" s="32" t="s">
        <v>117</v>
      </c>
      <c r="E21" s="32" t="s">
        <v>213</v>
      </c>
      <c r="F21" s="32" t="s">
        <v>171</v>
      </c>
      <c r="G21" s="32" t="s">
        <v>293</v>
      </c>
      <c r="H21" s="32" t="s">
        <v>293</v>
      </c>
      <c r="I21" s="32" t="s">
        <v>495</v>
      </c>
      <c r="J21" s="32" t="s">
        <v>495</v>
      </c>
      <c r="K21" s="32" t="s">
        <v>588</v>
      </c>
      <c r="L21" s="32" t="s">
        <v>242</v>
      </c>
      <c r="M21" s="32" t="s">
        <v>495</v>
      </c>
      <c r="N21" s="32" t="s">
        <v>495</v>
      </c>
      <c r="O21" s="32" t="s">
        <v>337</v>
      </c>
      <c r="P21" s="32" t="s">
        <v>589</v>
      </c>
      <c r="Q21" s="32" t="s">
        <v>63</v>
      </c>
      <c r="R21" s="32" t="s">
        <v>435</v>
      </c>
      <c r="S21" s="32" t="s">
        <v>223</v>
      </c>
      <c r="T21" s="32" t="s">
        <v>293</v>
      </c>
      <c r="U21" s="32" t="s">
        <v>117</v>
      </c>
    </row>
    <row r="22" spans="1:21" x14ac:dyDescent="0.35">
      <c r="A22" s="31" t="s">
        <v>43</v>
      </c>
      <c r="B22" s="32">
        <v>175</v>
      </c>
      <c r="C22" s="32" t="s">
        <v>483</v>
      </c>
      <c r="D22" s="32" t="s">
        <v>495</v>
      </c>
      <c r="E22" s="32" t="s">
        <v>590</v>
      </c>
      <c r="F22" s="32" t="s">
        <v>64</v>
      </c>
      <c r="G22" s="32" t="s">
        <v>203</v>
      </c>
      <c r="H22" s="32" t="s">
        <v>112</v>
      </c>
      <c r="I22" s="32" t="s">
        <v>495</v>
      </c>
      <c r="J22" s="32" t="s">
        <v>275</v>
      </c>
      <c r="K22" s="32" t="s">
        <v>591</v>
      </c>
      <c r="L22" s="32" t="s">
        <v>592</v>
      </c>
      <c r="M22" s="32" t="s">
        <v>273</v>
      </c>
      <c r="N22" s="32" t="s">
        <v>150</v>
      </c>
      <c r="O22" s="32" t="s">
        <v>593</v>
      </c>
      <c r="P22" s="32" t="s">
        <v>264</v>
      </c>
      <c r="Q22" s="32" t="s">
        <v>594</v>
      </c>
      <c r="R22" s="32" t="s">
        <v>185</v>
      </c>
      <c r="S22" s="32" t="s">
        <v>577</v>
      </c>
      <c r="T22" s="32" t="s">
        <v>112</v>
      </c>
      <c r="U22" s="32" t="s">
        <v>96</v>
      </c>
    </row>
    <row r="23" spans="1:21" x14ac:dyDescent="0.35">
      <c r="A23" s="31" t="s">
        <v>44</v>
      </c>
      <c r="B23" s="32">
        <v>174</v>
      </c>
      <c r="C23" s="32" t="s">
        <v>150</v>
      </c>
      <c r="D23" s="32" t="s">
        <v>495</v>
      </c>
      <c r="E23" s="32" t="s">
        <v>454</v>
      </c>
      <c r="F23" s="32" t="s">
        <v>595</v>
      </c>
      <c r="G23" s="32" t="s">
        <v>212</v>
      </c>
      <c r="H23" s="32" t="s">
        <v>212</v>
      </c>
      <c r="I23" s="32" t="s">
        <v>495</v>
      </c>
      <c r="J23" s="32" t="s">
        <v>212</v>
      </c>
      <c r="K23" s="32" t="s">
        <v>596</v>
      </c>
      <c r="L23" s="32" t="s">
        <v>595</v>
      </c>
      <c r="M23" s="32" t="s">
        <v>232</v>
      </c>
      <c r="N23" s="32" t="s">
        <v>495</v>
      </c>
      <c r="O23" s="32" t="s">
        <v>302</v>
      </c>
      <c r="P23" s="32" t="s">
        <v>447</v>
      </c>
      <c r="Q23" s="32" t="s">
        <v>439</v>
      </c>
      <c r="R23" s="32" t="s">
        <v>361</v>
      </c>
      <c r="S23" s="32" t="s">
        <v>597</v>
      </c>
      <c r="T23" s="32" t="s">
        <v>212</v>
      </c>
      <c r="U23" s="32" t="s">
        <v>212</v>
      </c>
    </row>
    <row r="24" spans="1:21" x14ac:dyDescent="0.35">
      <c r="A24" s="31" t="s">
        <v>45</v>
      </c>
      <c r="B24" s="32">
        <v>170</v>
      </c>
      <c r="C24" s="32" t="s">
        <v>207</v>
      </c>
      <c r="D24" s="32" t="s">
        <v>495</v>
      </c>
      <c r="E24" s="32" t="s">
        <v>497</v>
      </c>
      <c r="F24" s="32" t="s">
        <v>438</v>
      </c>
      <c r="G24" s="32" t="s">
        <v>201</v>
      </c>
      <c r="H24" s="32" t="s">
        <v>201</v>
      </c>
      <c r="I24" s="32" t="s">
        <v>495</v>
      </c>
      <c r="J24" s="32" t="s">
        <v>96</v>
      </c>
      <c r="K24" s="32" t="s">
        <v>559</v>
      </c>
      <c r="L24" s="32" t="s">
        <v>598</v>
      </c>
      <c r="M24" s="32" t="s">
        <v>253</v>
      </c>
      <c r="N24" s="32" t="s">
        <v>107</v>
      </c>
      <c r="O24" s="32" t="s">
        <v>208</v>
      </c>
      <c r="P24" s="32" t="s">
        <v>282</v>
      </c>
      <c r="Q24" s="32" t="s">
        <v>500</v>
      </c>
      <c r="R24" s="32" t="s">
        <v>75</v>
      </c>
      <c r="S24" s="32" t="s">
        <v>289</v>
      </c>
      <c r="T24" s="32" t="s">
        <v>201</v>
      </c>
      <c r="U24" s="32" t="s">
        <v>285</v>
      </c>
    </row>
    <row r="25" spans="1:21" x14ac:dyDescent="0.35">
      <c r="A25" s="31" t="s">
        <v>46</v>
      </c>
      <c r="B25" s="32">
        <v>85</v>
      </c>
      <c r="C25" s="32" t="s">
        <v>201</v>
      </c>
      <c r="D25" s="32" t="s">
        <v>495</v>
      </c>
      <c r="E25" s="32" t="s">
        <v>84</v>
      </c>
      <c r="F25" s="32" t="s">
        <v>501</v>
      </c>
      <c r="G25" s="32" t="s">
        <v>495</v>
      </c>
      <c r="H25" s="32" t="s">
        <v>495</v>
      </c>
      <c r="I25" s="32" t="s">
        <v>495</v>
      </c>
      <c r="J25" s="32" t="s">
        <v>495</v>
      </c>
      <c r="K25" s="32" t="s">
        <v>599</v>
      </c>
      <c r="L25" s="32" t="s">
        <v>600</v>
      </c>
      <c r="M25" s="32" t="s">
        <v>495</v>
      </c>
      <c r="N25" s="32" t="s">
        <v>495</v>
      </c>
      <c r="O25" s="32" t="s">
        <v>198</v>
      </c>
      <c r="P25" s="32" t="s">
        <v>441</v>
      </c>
      <c r="Q25" s="32" t="s">
        <v>442</v>
      </c>
      <c r="R25" s="32" t="s">
        <v>107</v>
      </c>
      <c r="S25" s="32" t="s">
        <v>288</v>
      </c>
      <c r="T25" s="32" t="s">
        <v>495</v>
      </c>
      <c r="U25" s="32" t="s">
        <v>495</v>
      </c>
    </row>
    <row r="26" spans="1:21" s="2" customFormat="1" x14ac:dyDescent="0.35">
      <c r="A26" s="31" t="s">
        <v>47</v>
      </c>
      <c r="B26" s="32">
        <v>85</v>
      </c>
      <c r="C26" s="32" t="s">
        <v>118</v>
      </c>
      <c r="D26" s="32" t="s">
        <v>495</v>
      </c>
      <c r="E26" s="32" t="s">
        <v>183</v>
      </c>
      <c r="F26" s="32" t="s">
        <v>424</v>
      </c>
      <c r="G26" s="32" t="s">
        <v>495</v>
      </c>
      <c r="H26" s="32" t="s">
        <v>495</v>
      </c>
      <c r="I26" s="32" t="s">
        <v>495</v>
      </c>
      <c r="J26" s="32" t="s">
        <v>495</v>
      </c>
      <c r="K26" s="32" t="s">
        <v>439</v>
      </c>
      <c r="L26" s="32" t="s">
        <v>209</v>
      </c>
      <c r="M26" s="32" t="s">
        <v>495</v>
      </c>
      <c r="N26" s="32" t="s">
        <v>495</v>
      </c>
      <c r="O26" s="32" t="s">
        <v>286</v>
      </c>
      <c r="P26" s="32" t="s">
        <v>173</v>
      </c>
      <c r="Q26" s="32" t="s">
        <v>97</v>
      </c>
      <c r="R26" s="32" t="s">
        <v>429</v>
      </c>
      <c r="S26" s="32" t="s">
        <v>240</v>
      </c>
      <c r="T26" s="32" t="s">
        <v>495</v>
      </c>
      <c r="U26" s="32" t="s">
        <v>495</v>
      </c>
    </row>
    <row r="27" spans="1:21" s="2" customFormat="1" x14ac:dyDescent="0.35">
      <c r="A27" s="31" t="s">
        <v>48</v>
      </c>
      <c r="B27" s="32">
        <v>170</v>
      </c>
      <c r="C27" s="32" t="s">
        <v>107</v>
      </c>
      <c r="D27" s="32" t="s">
        <v>495</v>
      </c>
      <c r="E27" s="32" t="s">
        <v>253</v>
      </c>
      <c r="F27" s="32" t="s">
        <v>234</v>
      </c>
      <c r="G27" s="32" t="s">
        <v>495</v>
      </c>
      <c r="H27" s="32" t="s">
        <v>495</v>
      </c>
      <c r="I27" s="32" t="s">
        <v>495</v>
      </c>
      <c r="J27" s="32" t="s">
        <v>495</v>
      </c>
      <c r="K27" s="32" t="s">
        <v>169</v>
      </c>
      <c r="L27" s="32" t="s">
        <v>193</v>
      </c>
      <c r="M27" s="32" t="s">
        <v>133</v>
      </c>
      <c r="N27" s="32" t="s">
        <v>495</v>
      </c>
      <c r="O27" s="32" t="s">
        <v>171</v>
      </c>
      <c r="P27" s="32" t="s">
        <v>89</v>
      </c>
      <c r="Q27" s="32" t="s">
        <v>173</v>
      </c>
      <c r="R27" s="32" t="s">
        <v>239</v>
      </c>
      <c r="S27" s="32" t="s">
        <v>283</v>
      </c>
      <c r="T27" s="32" t="s">
        <v>495</v>
      </c>
      <c r="U27" s="32" t="s">
        <v>495</v>
      </c>
    </row>
    <row r="28" spans="1:21" s="2" customFormat="1" x14ac:dyDescent="0.35">
      <c r="A28" s="31" t="s">
        <v>137</v>
      </c>
      <c r="B28" s="32">
        <v>173</v>
      </c>
      <c r="C28" s="32" t="s">
        <v>133</v>
      </c>
      <c r="D28" s="32" t="s">
        <v>96</v>
      </c>
      <c r="E28" s="32" t="s">
        <v>495</v>
      </c>
      <c r="F28" s="32" t="s">
        <v>434</v>
      </c>
      <c r="G28" s="32" t="s">
        <v>495</v>
      </c>
      <c r="H28" s="32" t="s">
        <v>495</v>
      </c>
      <c r="I28" s="32" t="s">
        <v>495</v>
      </c>
      <c r="J28" s="32" t="s">
        <v>495</v>
      </c>
      <c r="K28" s="32" t="s">
        <v>387</v>
      </c>
      <c r="L28" s="32" t="s">
        <v>387</v>
      </c>
      <c r="M28" s="32" t="s">
        <v>495</v>
      </c>
      <c r="N28" s="32" t="s">
        <v>495</v>
      </c>
      <c r="O28" s="32" t="s">
        <v>434</v>
      </c>
      <c r="P28" s="32" t="s">
        <v>460</v>
      </c>
      <c r="Q28" s="32" t="s">
        <v>118</v>
      </c>
      <c r="R28" s="32" t="s">
        <v>466</v>
      </c>
      <c r="S28" s="32" t="s">
        <v>460</v>
      </c>
      <c r="T28" s="32" t="s">
        <v>495</v>
      </c>
      <c r="U28" s="32" t="s">
        <v>495</v>
      </c>
    </row>
    <row r="29" spans="1:21" s="2" customFormat="1" x14ac:dyDescent="0.35">
      <c r="A29" s="31" t="s">
        <v>601</v>
      </c>
      <c r="B29" s="32">
        <v>170</v>
      </c>
      <c r="C29" s="32" t="s">
        <v>495</v>
      </c>
      <c r="D29" s="32" t="s">
        <v>495</v>
      </c>
      <c r="E29" s="32" t="s">
        <v>203</v>
      </c>
      <c r="F29" s="32" t="s">
        <v>554</v>
      </c>
      <c r="G29" s="32" t="s">
        <v>495</v>
      </c>
      <c r="H29" s="32" t="s">
        <v>495</v>
      </c>
      <c r="I29" s="32" t="s">
        <v>495</v>
      </c>
      <c r="J29" s="32" t="s">
        <v>495</v>
      </c>
      <c r="K29" s="32" t="s">
        <v>203</v>
      </c>
      <c r="L29" s="32" t="s">
        <v>203</v>
      </c>
      <c r="M29" s="32" t="s">
        <v>495</v>
      </c>
      <c r="N29" s="32" t="s">
        <v>495</v>
      </c>
      <c r="O29" s="32" t="s">
        <v>173</v>
      </c>
      <c r="P29" s="32" t="s">
        <v>81</v>
      </c>
      <c r="Q29" s="32" t="s">
        <v>84</v>
      </c>
      <c r="R29" s="32" t="s">
        <v>418</v>
      </c>
      <c r="S29" s="32" t="s">
        <v>89</v>
      </c>
      <c r="T29" s="32" t="s">
        <v>495</v>
      </c>
      <c r="U29" s="32" t="s">
        <v>495</v>
      </c>
    </row>
    <row r="30" spans="1:21" s="2" customFormat="1" x14ac:dyDescent="0.35">
      <c r="A30" s="33" t="s">
        <v>645</v>
      </c>
      <c r="B30" s="34">
        <v>4451</v>
      </c>
      <c r="C30" s="35" t="s">
        <v>75</v>
      </c>
      <c r="D30" s="35" t="s">
        <v>218</v>
      </c>
      <c r="E30" s="35" t="s">
        <v>183</v>
      </c>
      <c r="F30" s="35" t="s">
        <v>258</v>
      </c>
      <c r="G30" s="35" t="s">
        <v>363</v>
      </c>
      <c r="H30" s="35" t="s">
        <v>211</v>
      </c>
      <c r="I30" s="35" t="s">
        <v>495</v>
      </c>
      <c r="J30" s="35" t="s">
        <v>162</v>
      </c>
      <c r="K30" s="35" t="s">
        <v>326</v>
      </c>
      <c r="L30" s="35" t="s">
        <v>654</v>
      </c>
      <c r="M30" s="35" t="s">
        <v>213</v>
      </c>
      <c r="N30" s="35" t="s">
        <v>96</v>
      </c>
      <c r="O30" s="35" t="s">
        <v>655</v>
      </c>
      <c r="P30" s="35" t="s">
        <v>204</v>
      </c>
      <c r="Q30" s="35" t="s">
        <v>656</v>
      </c>
      <c r="R30" s="35" t="s">
        <v>657</v>
      </c>
      <c r="S30" s="35" t="s">
        <v>85</v>
      </c>
      <c r="T30" s="35" t="s">
        <v>116</v>
      </c>
      <c r="U30" s="35" t="s">
        <v>163</v>
      </c>
    </row>
    <row r="31" spans="1:21" s="2" customFormat="1" x14ac:dyDescent="0.35">
      <c r="A31" s="33" t="s">
        <v>646</v>
      </c>
      <c r="B31" s="35">
        <v>170</v>
      </c>
      <c r="C31" s="35" t="s">
        <v>273</v>
      </c>
      <c r="D31" s="35" t="s">
        <v>495</v>
      </c>
      <c r="E31" s="35" t="s">
        <v>318</v>
      </c>
      <c r="F31" s="35" t="s">
        <v>326</v>
      </c>
      <c r="G31" s="35" t="s">
        <v>96</v>
      </c>
      <c r="H31" s="35" t="s">
        <v>119</v>
      </c>
      <c r="I31" s="35" t="s">
        <v>495</v>
      </c>
      <c r="J31" s="35" t="s">
        <v>495</v>
      </c>
      <c r="K31" s="35" t="s">
        <v>602</v>
      </c>
      <c r="L31" s="35" t="s">
        <v>126</v>
      </c>
      <c r="M31" s="35" t="s">
        <v>119</v>
      </c>
      <c r="N31" s="35" t="s">
        <v>495</v>
      </c>
      <c r="O31" s="35" t="s">
        <v>668</v>
      </c>
      <c r="P31" s="35" t="s">
        <v>458</v>
      </c>
      <c r="Q31" s="35" t="s">
        <v>256</v>
      </c>
      <c r="R31" s="35" t="s">
        <v>89</v>
      </c>
      <c r="S31" s="35" t="s">
        <v>85</v>
      </c>
      <c r="T31" s="35" t="s">
        <v>117</v>
      </c>
      <c r="U31" s="35" t="s">
        <v>495</v>
      </c>
    </row>
    <row r="32" spans="1:21" x14ac:dyDescent="0.35">
      <c r="A32" s="31" t="s">
        <v>49</v>
      </c>
      <c r="B32" s="32">
        <v>85</v>
      </c>
      <c r="C32" s="32" t="s">
        <v>495</v>
      </c>
      <c r="D32" s="32" t="s">
        <v>495</v>
      </c>
      <c r="E32" s="32" t="s">
        <v>495</v>
      </c>
      <c r="F32" s="32" t="s">
        <v>201</v>
      </c>
      <c r="G32" s="32" t="s">
        <v>495</v>
      </c>
      <c r="H32" s="32" t="s">
        <v>495</v>
      </c>
      <c r="I32" s="32" t="s">
        <v>495</v>
      </c>
      <c r="J32" s="32" t="s">
        <v>495</v>
      </c>
      <c r="K32" s="32" t="s">
        <v>167</v>
      </c>
      <c r="L32" s="32" t="s">
        <v>133</v>
      </c>
      <c r="M32" s="32" t="s">
        <v>495</v>
      </c>
      <c r="N32" s="32" t="s">
        <v>495</v>
      </c>
      <c r="O32" s="32" t="s">
        <v>118</v>
      </c>
      <c r="P32" s="32" t="s">
        <v>133</v>
      </c>
      <c r="Q32" s="32" t="s">
        <v>80</v>
      </c>
      <c r="R32" s="32" t="s">
        <v>82</v>
      </c>
      <c r="S32" s="32" t="s">
        <v>167</v>
      </c>
      <c r="T32" s="32" t="s">
        <v>495</v>
      </c>
      <c r="U32" s="32" t="s">
        <v>495</v>
      </c>
    </row>
    <row r="33" spans="1:21" x14ac:dyDescent="0.35">
      <c r="A33" s="31" t="s">
        <v>139</v>
      </c>
      <c r="B33" s="32">
        <v>336</v>
      </c>
      <c r="C33" s="32" t="s">
        <v>211</v>
      </c>
      <c r="D33" s="32" t="s">
        <v>495</v>
      </c>
      <c r="E33" s="32" t="s">
        <v>495</v>
      </c>
      <c r="F33" s="32" t="s">
        <v>111</v>
      </c>
      <c r="G33" s="32" t="s">
        <v>495</v>
      </c>
      <c r="H33" s="32" t="s">
        <v>495</v>
      </c>
      <c r="I33" s="32" t="s">
        <v>495</v>
      </c>
      <c r="J33" s="32" t="s">
        <v>495</v>
      </c>
      <c r="K33" s="32" t="s">
        <v>79</v>
      </c>
      <c r="L33" s="32" t="s">
        <v>275</v>
      </c>
      <c r="M33" s="32" t="s">
        <v>495</v>
      </c>
      <c r="N33" s="32" t="s">
        <v>495</v>
      </c>
      <c r="O33" s="32" t="s">
        <v>275</v>
      </c>
      <c r="P33" s="32" t="s">
        <v>133</v>
      </c>
      <c r="Q33" s="32" t="s">
        <v>292</v>
      </c>
      <c r="R33" s="32" t="s">
        <v>603</v>
      </c>
      <c r="S33" s="32" t="s">
        <v>163</v>
      </c>
      <c r="T33" s="32" t="s">
        <v>495</v>
      </c>
      <c r="U33" s="32" t="s">
        <v>495</v>
      </c>
    </row>
    <row r="34" spans="1:21" x14ac:dyDescent="0.35">
      <c r="A34" s="31" t="s">
        <v>140</v>
      </c>
      <c r="B34" s="32">
        <v>4</v>
      </c>
      <c r="C34" s="32" t="s">
        <v>495</v>
      </c>
      <c r="D34" s="32" t="s">
        <v>495</v>
      </c>
      <c r="E34" s="32" t="s">
        <v>495</v>
      </c>
      <c r="F34" s="32" t="s">
        <v>495</v>
      </c>
      <c r="G34" s="32" t="s">
        <v>495</v>
      </c>
      <c r="H34" s="32" t="s">
        <v>495</v>
      </c>
      <c r="I34" s="32" t="s">
        <v>495</v>
      </c>
      <c r="J34" s="32" t="s">
        <v>495</v>
      </c>
      <c r="K34" s="32" t="s">
        <v>495</v>
      </c>
      <c r="L34" s="32" t="s">
        <v>499</v>
      </c>
      <c r="M34" s="32" t="s">
        <v>499</v>
      </c>
      <c r="N34" s="32" t="s">
        <v>495</v>
      </c>
      <c r="O34" s="32" t="s">
        <v>495</v>
      </c>
      <c r="P34" s="32" t="s">
        <v>499</v>
      </c>
      <c r="Q34" s="32">
        <v>100</v>
      </c>
      <c r="R34" s="32" t="s">
        <v>495</v>
      </c>
      <c r="S34" s="32" t="s">
        <v>499</v>
      </c>
      <c r="T34" s="32" t="s">
        <v>495</v>
      </c>
      <c r="U34" s="32" t="s">
        <v>495</v>
      </c>
    </row>
    <row r="35" spans="1:21" x14ac:dyDescent="0.35">
      <c r="A35" s="31" t="s">
        <v>141</v>
      </c>
      <c r="B35" s="32">
        <v>195</v>
      </c>
      <c r="C35" s="32" t="s">
        <v>267</v>
      </c>
      <c r="D35" s="32" t="s">
        <v>495</v>
      </c>
      <c r="E35" s="32" t="s">
        <v>211</v>
      </c>
      <c r="F35" s="32" t="s">
        <v>276</v>
      </c>
      <c r="G35" s="32" t="s">
        <v>495</v>
      </c>
      <c r="H35" s="32" t="s">
        <v>495</v>
      </c>
      <c r="I35" s="32" t="s">
        <v>495</v>
      </c>
      <c r="J35" s="32" t="s">
        <v>495</v>
      </c>
      <c r="K35" s="32" t="s">
        <v>448</v>
      </c>
      <c r="L35" s="32" t="s">
        <v>224</v>
      </c>
      <c r="M35" s="32" t="s">
        <v>495</v>
      </c>
      <c r="N35" s="32" t="s">
        <v>495</v>
      </c>
      <c r="O35" s="32" t="s">
        <v>223</v>
      </c>
      <c r="P35" s="32" t="s">
        <v>125</v>
      </c>
      <c r="Q35" s="32" t="s">
        <v>604</v>
      </c>
      <c r="R35" s="32" t="s">
        <v>605</v>
      </c>
      <c r="S35" s="32" t="s">
        <v>420</v>
      </c>
      <c r="T35" s="32" t="s">
        <v>495</v>
      </c>
      <c r="U35" s="32" t="s">
        <v>495</v>
      </c>
    </row>
    <row r="36" spans="1:21" s="2" customFormat="1" x14ac:dyDescent="0.35">
      <c r="A36" s="33" t="s">
        <v>509</v>
      </c>
      <c r="B36" s="35">
        <v>620</v>
      </c>
      <c r="C36" s="35" t="s">
        <v>212</v>
      </c>
      <c r="D36" s="35" t="s">
        <v>495</v>
      </c>
      <c r="E36" s="35" t="s">
        <v>119</v>
      </c>
      <c r="F36" s="35" t="s">
        <v>606</v>
      </c>
      <c r="G36" s="35" t="s">
        <v>495</v>
      </c>
      <c r="H36" s="35" t="s">
        <v>495</v>
      </c>
      <c r="I36" s="35" t="s">
        <v>495</v>
      </c>
      <c r="J36" s="35" t="s">
        <v>495</v>
      </c>
      <c r="K36" s="35" t="s">
        <v>202</v>
      </c>
      <c r="L36" s="35" t="s">
        <v>132</v>
      </c>
      <c r="M36" s="35" t="s">
        <v>117</v>
      </c>
      <c r="N36" s="35" t="s">
        <v>495</v>
      </c>
      <c r="O36" s="35" t="s">
        <v>340</v>
      </c>
      <c r="P36" s="35" t="s">
        <v>585</v>
      </c>
      <c r="Q36" s="35" t="s">
        <v>351</v>
      </c>
      <c r="R36" s="35" t="s">
        <v>607</v>
      </c>
      <c r="S36" s="35" t="s">
        <v>233</v>
      </c>
      <c r="T36" s="35" t="s">
        <v>495</v>
      </c>
      <c r="U36" s="35" t="s">
        <v>495</v>
      </c>
    </row>
    <row r="37" spans="1:21" s="2" customFormat="1" x14ac:dyDescent="0.35">
      <c r="A37" s="33" t="s">
        <v>647</v>
      </c>
      <c r="B37" s="34">
        <v>5071</v>
      </c>
      <c r="C37" s="35" t="s">
        <v>79</v>
      </c>
      <c r="D37" s="35" t="s">
        <v>218</v>
      </c>
      <c r="E37" s="35" t="s">
        <v>483</v>
      </c>
      <c r="F37" s="35" t="s">
        <v>348</v>
      </c>
      <c r="G37" s="35" t="s">
        <v>142</v>
      </c>
      <c r="H37" s="35" t="s">
        <v>116</v>
      </c>
      <c r="I37" s="35" t="s">
        <v>495</v>
      </c>
      <c r="J37" s="35" t="s">
        <v>162</v>
      </c>
      <c r="K37" s="35" t="s">
        <v>482</v>
      </c>
      <c r="L37" s="35" t="s">
        <v>658</v>
      </c>
      <c r="M37" s="35" t="s">
        <v>104</v>
      </c>
      <c r="N37" s="35" t="s">
        <v>96</v>
      </c>
      <c r="O37" s="35" t="s">
        <v>659</v>
      </c>
      <c r="P37" s="35" t="s">
        <v>609</v>
      </c>
      <c r="Q37" s="35" t="s">
        <v>366</v>
      </c>
      <c r="R37" s="35" t="s">
        <v>660</v>
      </c>
      <c r="S37" s="35" t="s">
        <v>166</v>
      </c>
      <c r="T37" s="35" t="s">
        <v>133</v>
      </c>
      <c r="U37" s="35" t="s">
        <v>342</v>
      </c>
    </row>
    <row r="38" spans="1:21" s="2" customFormat="1" x14ac:dyDescent="0.35">
      <c r="A38" s="33" t="s">
        <v>648</v>
      </c>
      <c r="B38" s="35">
        <v>170</v>
      </c>
      <c r="C38" s="35" t="s">
        <v>118</v>
      </c>
      <c r="D38" s="35" t="s">
        <v>495</v>
      </c>
      <c r="E38" s="35" t="s">
        <v>290</v>
      </c>
      <c r="F38" s="35" t="s">
        <v>556</v>
      </c>
      <c r="G38" s="35" t="s">
        <v>495</v>
      </c>
      <c r="H38" s="35" t="s">
        <v>495</v>
      </c>
      <c r="I38" s="35" t="s">
        <v>495</v>
      </c>
      <c r="J38" s="35" t="s">
        <v>495</v>
      </c>
      <c r="K38" s="35" t="s">
        <v>576</v>
      </c>
      <c r="L38" s="35" t="s">
        <v>499</v>
      </c>
      <c r="M38" s="35" t="s">
        <v>117</v>
      </c>
      <c r="N38" s="35" t="s">
        <v>495</v>
      </c>
      <c r="O38" s="35" t="s">
        <v>286</v>
      </c>
      <c r="P38" s="35" t="s">
        <v>653</v>
      </c>
      <c r="Q38" s="35" t="s">
        <v>204</v>
      </c>
      <c r="R38" s="35" t="s">
        <v>239</v>
      </c>
      <c r="S38" s="35" t="s">
        <v>574</v>
      </c>
      <c r="T38" s="35" t="s">
        <v>495</v>
      </c>
      <c r="U38" s="35" t="s">
        <v>495</v>
      </c>
    </row>
  </sheetData>
  <autoFilter ref="A1:U1" xr:uid="{00000000-0001-0000-0200-000000000000}"/>
  <pageMargins left="0.7" right="0.7" top="0.75" bottom="0.75" header="0.3" footer="0.3"/>
  <pageSetup paperSize="9" scale="4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X15"/>
  <sheetViews>
    <sheetView zoomScaleNormal="100" workbookViewId="0">
      <selection activeCell="F28" sqref="F28"/>
    </sheetView>
  </sheetViews>
  <sheetFormatPr defaultColWidth="9.1796875" defaultRowHeight="14.5" x14ac:dyDescent="0.35"/>
  <cols>
    <col min="1" max="1" width="31.7265625" bestFit="1" customWidth="1"/>
    <col min="3" max="3" width="12.81640625" bestFit="1" customWidth="1"/>
    <col min="4" max="4" width="13.26953125" bestFit="1" customWidth="1"/>
    <col min="5" max="5" width="12.26953125" bestFit="1" customWidth="1"/>
    <col min="6" max="6" width="13.26953125" bestFit="1" customWidth="1"/>
    <col min="7" max="7" width="12.26953125" bestFit="1" customWidth="1"/>
    <col min="8" max="8" width="12.453125" bestFit="1" customWidth="1"/>
    <col min="9" max="9" width="13.7265625" bestFit="1" customWidth="1"/>
    <col min="10" max="11" width="12.54296875" bestFit="1" customWidth="1"/>
    <col min="12" max="12" width="11.81640625" bestFit="1" customWidth="1"/>
    <col min="13" max="13" width="13.1796875" bestFit="1" customWidth="1"/>
    <col min="14" max="14" width="12.453125" bestFit="1" customWidth="1"/>
    <col min="15" max="16" width="13" bestFit="1" customWidth="1"/>
    <col min="17" max="17" width="12" bestFit="1" customWidth="1"/>
    <col min="18" max="18" width="11.1796875" bestFit="1" customWidth="1"/>
    <col min="19" max="19" width="13.26953125" bestFit="1" customWidth="1"/>
    <col min="20" max="20" width="41.1796875" bestFit="1" customWidth="1"/>
    <col min="21" max="21" width="43.54296875" bestFit="1" customWidth="1"/>
  </cols>
  <sheetData>
    <row r="1" spans="1:24" s="1" customFormat="1" x14ac:dyDescent="0.35">
      <c r="A1" s="30" t="s">
        <v>4</v>
      </c>
      <c r="B1" s="30" t="s">
        <v>5</v>
      </c>
      <c r="C1" s="30" t="s">
        <v>6</v>
      </c>
      <c r="D1" s="30" t="s">
        <v>7</v>
      </c>
      <c r="E1" s="30" t="s">
        <v>8</v>
      </c>
      <c r="F1" s="30" t="s">
        <v>9</v>
      </c>
      <c r="G1" s="30" t="s">
        <v>10</v>
      </c>
      <c r="H1" s="30" t="s">
        <v>11</v>
      </c>
      <c r="I1" s="30" t="s">
        <v>12</v>
      </c>
      <c r="J1" s="30" t="s">
        <v>13</v>
      </c>
      <c r="K1" s="30" t="s">
        <v>14</v>
      </c>
      <c r="L1" s="30" t="s">
        <v>15</v>
      </c>
      <c r="M1" s="30" t="s">
        <v>16</v>
      </c>
      <c r="N1" s="30" t="s">
        <v>17</v>
      </c>
      <c r="O1" s="30" t="s">
        <v>18</v>
      </c>
      <c r="P1" s="30" t="s">
        <v>19</v>
      </c>
      <c r="Q1" s="30" t="s">
        <v>20</v>
      </c>
      <c r="R1" s="30" t="s">
        <v>21</v>
      </c>
      <c r="S1" s="30" t="s">
        <v>22</v>
      </c>
      <c r="T1" s="30" t="s">
        <v>23</v>
      </c>
      <c r="U1" s="30" t="s">
        <v>135</v>
      </c>
      <c r="X1"/>
    </row>
    <row r="2" spans="1:24" x14ac:dyDescent="0.35">
      <c r="A2" s="37" t="s">
        <v>24</v>
      </c>
      <c r="B2" s="38">
        <v>108</v>
      </c>
      <c r="C2" s="38" t="s">
        <v>163</v>
      </c>
      <c r="D2" s="38" t="s">
        <v>495</v>
      </c>
      <c r="E2" s="38" t="s">
        <v>110</v>
      </c>
      <c r="F2" s="38" t="s">
        <v>462</v>
      </c>
      <c r="G2" s="38" t="s">
        <v>163</v>
      </c>
      <c r="H2" s="38" t="s">
        <v>495</v>
      </c>
      <c r="I2" s="38" t="s">
        <v>495</v>
      </c>
      <c r="J2" s="38" t="s">
        <v>495</v>
      </c>
      <c r="K2" s="38" t="s">
        <v>100</v>
      </c>
      <c r="L2" s="38" t="s">
        <v>457</v>
      </c>
      <c r="M2" s="38" t="s">
        <v>495</v>
      </c>
      <c r="N2" s="38" t="s">
        <v>495</v>
      </c>
      <c r="O2" s="38" t="s">
        <v>100</v>
      </c>
      <c r="P2" s="38" t="s">
        <v>65</v>
      </c>
      <c r="Q2" s="38" t="s">
        <v>611</v>
      </c>
      <c r="R2" s="38" t="s">
        <v>160</v>
      </c>
      <c r="S2" s="38" t="s">
        <v>358</v>
      </c>
      <c r="T2" s="38" t="s">
        <v>163</v>
      </c>
      <c r="U2" s="38" t="s">
        <v>495</v>
      </c>
    </row>
    <row r="3" spans="1:24" x14ac:dyDescent="0.35">
      <c r="A3" s="37" t="s">
        <v>27</v>
      </c>
      <c r="B3" s="38">
        <v>82</v>
      </c>
      <c r="C3" s="38" t="s">
        <v>110</v>
      </c>
      <c r="D3" s="38" t="s">
        <v>495</v>
      </c>
      <c r="E3" s="38" t="s">
        <v>454</v>
      </c>
      <c r="F3" s="38" t="s">
        <v>348</v>
      </c>
      <c r="G3" s="38" t="s">
        <v>495</v>
      </c>
      <c r="H3" s="38" t="s">
        <v>495</v>
      </c>
      <c r="I3" s="38" t="s">
        <v>495</v>
      </c>
      <c r="J3" s="38" t="s">
        <v>495</v>
      </c>
      <c r="K3" s="38" t="s">
        <v>612</v>
      </c>
      <c r="L3" s="38" t="s">
        <v>613</v>
      </c>
      <c r="M3" s="38" t="s">
        <v>133</v>
      </c>
      <c r="N3" s="38" t="s">
        <v>495</v>
      </c>
      <c r="O3" s="38" t="s">
        <v>614</v>
      </c>
      <c r="P3" s="38" t="s">
        <v>434</v>
      </c>
      <c r="Q3" s="38" t="s">
        <v>477</v>
      </c>
      <c r="R3" s="38" t="s">
        <v>347</v>
      </c>
      <c r="S3" s="38" t="s">
        <v>615</v>
      </c>
      <c r="T3" s="38" t="s">
        <v>495</v>
      </c>
      <c r="U3" s="38" t="s">
        <v>495</v>
      </c>
    </row>
    <row r="4" spans="1:24" x14ac:dyDescent="0.35">
      <c r="A4" s="37" t="s">
        <v>32</v>
      </c>
      <c r="B4" s="38">
        <v>211</v>
      </c>
      <c r="C4" s="38" t="s">
        <v>163</v>
      </c>
      <c r="D4" s="38" t="s">
        <v>119</v>
      </c>
      <c r="E4" s="38" t="s">
        <v>232</v>
      </c>
      <c r="F4" s="38" t="s">
        <v>616</v>
      </c>
      <c r="G4" s="38" t="s">
        <v>495</v>
      </c>
      <c r="H4" s="38" t="s">
        <v>495</v>
      </c>
      <c r="I4" s="38" t="s">
        <v>495</v>
      </c>
      <c r="J4" s="38" t="s">
        <v>495</v>
      </c>
      <c r="K4" s="38" t="s">
        <v>496</v>
      </c>
      <c r="L4" s="38" t="s">
        <v>446</v>
      </c>
      <c r="M4" s="38" t="s">
        <v>119</v>
      </c>
      <c r="N4" s="38" t="s">
        <v>119</v>
      </c>
      <c r="O4" s="38" t="s">
        <v>280</v>
      </c>
      <c r="P4" s="38" t="s">
        <v>124</v>
      </c>
      <c r="Q4" s="38" t="s">
        <v>166</v>
      </c>
      <c r="R4" s="38" t="s">
        <v>371</v>
      </c>
      <c r="S4" s="38" t="s">
        <v>463</v>
      </c>
      <c r="T4" s="38" t="s">
        <v>495</v>
      </c>
      <c r="U4" s="38" t="s">
        <v>495</v>
      </c>
    </row>
    <row r="5" spans="1:24" x14ac:dyDescent="0.35">
      <c r="A5" s="37" t="s">
        <v>33</v>
      </c>
      <c r="B5" s="38">
        <v>248</v>
      </c>
      <c r="C5" s="38" t="s">
        <v>342</v>
      </c>
      <c r="D5" s="38" t="s">
        <v>495</v>
      </c>
      <c r="E5" s="38" t="s">
        <v>457</v>
      </c>
      <c r="F5" s="38" t="s">
        <v>617</v>
      </c>
      <c r="G5" s="38" t="s">
        <v>495</v>
      </c>
      <c r="H5" s="38" t="s">
        <v>495</v>
      </c>
      <c r="I5" s="38" t="s">
        <v>495</v>
      </c>
      <c r="J5" s="38" t="s">
        <v>495</v>
      </c>
      <c r="K5" s="38" t="s">
        <v>316</v>
      </c>
      <c r="L5" s="38" t="s">
        <v>283</v>
      </c>
      <c r="M5" s="38" t="s">
        <v>162</v>
      </c>
      <c r="N5" s="38" t="s">
        <v>342</v>
      </c>
      <c r="O5" s="38" t="s">
        <v>66</v>
      </c>
      <c r="P5" s="38" t="s">
        <v>425</v>
      </c>
      <c r="Q5" s="38" t="s">
        <v>271</v>
      </c>
      <c r="R5" s="38" t="s">
        <v>475</v>
      </c>
      <c r="S5" s="38" t="s">
        <v>449</v>
      </c>
      <c r="T5" s="38" t="s">
        <v>495</v>
      </c>
      <c r="U5" s="38" t="s">
        <v>495</v>
      </c>
    </row>
    <row r="6" spans="1:24" x14ac:dyDescent="0.35">
      <c r="A6" s="37" t="s">
        <v>35</v>
      </c>
      <c r="B6" s="38">
        <v>182</v>
      </c>
      <c r="C6" s="38" t="s">
        <v>212</v>
      </c>
      <c r="D6" s="38" t="s">
        <v>495</v>
      </c>
      <c r="E6" s="38" t="s">
        <v>369</v>
      </c>
      <c r="F6" s="38" t="s">
        <v>85</v>
      </c>
      <c r="G6" s="38" t="s">
        <v>495</v>
      </c>
      <c r="H6" s="38" t="s">
        <v>495</v>
      </c>
      <c r="I6" s="38" t="s">
        <v>495</v>
      </c>
      <c r="J6" s="38" t="s">
        <v>119</v>
      </c>
      <c r="K6" s="38" t="s">
        <v>256</v>
      </c>
      <c r="L6" s="38" t="s">
        <v>427</v>
      </c>
      <c r="M6" s="38" t="s">
        <v>119</v>
      </c>
      <c r="N6" s="38" t="s">
        <v>495</v>
      </c>
      <c r="O6" s="38" t="s">
        <v>416</v>
      </c>
      <c r="P6" s="38" t="s">
        <v>124</v>
      </c>
      <c r="Q6" s="38" t="s">
        <v>661</v>
      </c>
      <c r="R6" s="38" t="s">
        <v>662</v>
      </c>
      <c r="S6" s="38" t="s">
        <v>158</v>
      </c>
      <c r="T6" s="38" t="s">
        <v>495</v>
      </c>
      <c r="U6" s="38" t="s">
        <v>495</v>
      </c>
    </row>
    <row r="7" spans="1:24" x14ac:dyDescent="0.35">
      <c r="A7" s="37" t="s">
        <v>36</v>
      </c>
      <c r="B7" s="38">
        <v>85</v>
      </c>
      <c r="C7" s="38" t="s">
        <v>495</v>
      </c>
      <c r="D7" s="38" t="s">
        <v>495</v>
      </c>
      <c r="E7" s="38" t="s">
        <v>167</v>
      </c>
      <c r="F7" s="38" t="s">
        <v>160</v>
      </c>
      <c r="G7" s="38" t="s">
        <v>495</v>
      </c>
      <c r="H7" s="38" t="s">
        <v>495</v>
      </c>
      <c r="I7" s="38" t="s">
        <v>495</v>
      </c>
      <c r="J7" s="38" t="s">
        <v>495</v>
      </c>
      <c r="K7" s="38" t="s">
        <v>80</v>
      </c>
      <c r="L7" s="38" t="s">
        <v>176</v>
      </c>
      <c r="M7" s="38" t="s">
        <v>495</v>
      </c>
      <c r="N7" s="38" t="s">
        <v>495</v>
      </c>
      <c r="O7" s="38" t="s">
        <v>390</v>
      </c>
      <c r="P7" s="38" t="s">
        <v>183</v>
      </c>
      <c r="Q7" s="38" t="s">
        <v>500</v>
      </c>
      <c r="R7" s="38" t="s">
        <v>194</v>
      </c>
      <c r="S7" s="38" t="s">
        <v>429</v>
      </c>
      <c r="T7" s="38" t="s">
        <v>495</v>
      </c>
      <c r="U7" s="38" t="s">
        <v>495</v>
      </c>
    </row>
    <row r="8" spans="1:24" x14ac:dyDescent="0.35">
      <c r="A8" s="37" t="s">
        <v>37</v>
      </c>
      <c r="B8" s="38">
        <v>170</v>
      </c>
      <c r="C8" s="38" t="s">
        <v>167</v>
      </c>
      <c r="D8" s="38" t="s">
        <v>495</v>
      </c>
      <c r="E8" s="38" t="s">
        <v>191</v>
      </c>
      <c r="F8" s="38" t="s">
        <v>266</v>
      </c>
      <c r="G8" s="38" t="s">
        <v>203</v>
      </c>
      <c r="H8" s="38" t="s">
        <v>203</v>
      </c>
      <c r="I8" s="38" t="s">
        <v>495</v>
      </c>
      <c r="J8" s="38" t="s">
        <v>495</v>
      </c>
      <c r="K8" s="38" t="s">
        <v>579</v>
      </c>
      <c r="L8" s="38" t="s">
        <v>291</v>
      </c>
      <c r="M8" s="38" t="s">
        <v>495</v>
      </c>
      <c r="N8" s="38" t="s">
        <v>495</v>
      </c>
      <c r="O8" s="38" t="s">
        <v>613</v>
      </c>
      <c r="P8" s="38" t="s">
        <v>68</v>
      </c>
      <c r="Q8" s="38" t="s">
        <v>160</v>
      </c>
      <c r="R8" s="38" t="s">
        <v>327</v>
      </c>
      <c r="S8" s="38" t="s">
        <v>74</v>
      </c>
      <c r="T8" s="38" t="s">
        <v>104</v>
      </c>
      <c r="U8" s="38" t="s">
        <v>96</v>
      </c>
    </row>
    <row r="9" spans="1:24" x14ac:dyDescent="0.35">
      <c r="A9" s="37" t="s">
        <v>43</v>
      </c>
      <c r="B9" s="38">
        <v>187</v>
      </c>
      <c r="C9" s="38" t="s">
        <v>555</v>
      </c>
      <c r="D9" s="38" t="s">
        <v>495</v>
      </c>
      <c r="E9" s="38" t="s">
        <v>157</v>
      </c>
      <c r="F9" s="38" t="s">
        <v>502</v>
      </c>
      <c r="G9" s="38" t="s">
        <v>381</v>
      </c>
      <c r="H9" s="38" t="s">
        <v>212</v>
      </c>
      <c r="I9" s="38" t="s">
        <v>495</v>
      </c>
      <c r="J9" s="38" t="s">
        <v>75</v>
      </c>
      <c r="K9" s="38" t="s">
        <v>428</v>
      </c>
      <c r="L9" s="38" t="s">
        <v>618</v>
      </c>
      <c r="M9" s="38" t="s">
        <v>268</v>
      </c>
      <c r="N9" s="38" t="s">
        <v>619</v>
      </c>
      <c r="O9" s="38" t="s">
        <v>620</v>
      </c>
      <c r="P9" s="38" t="s">
        <v>608</v>
      </c>
      <c r="Q9" s="38" t="s">
        <v>621</v>
      </c>
      <c r="R9" s="38" t="s">
        <v>376</v>
      </c>
      <c r="S9" s="38" t="s">
        <v>399</v>
      </c>
      <c r="T9" s="38" t="s">
        <v>292</v>
      </c>
      <c r="U9" s="38" t="s">
        <v>119</v>
      </c>
    </row>
    <row r="10" spans="1:24" x14ac:dyDescent="0.35">
      <c r="A10" s="37" t="s">
        <v>44</v>
      </c>
      <c r="B10" s="38">
        <v>96</v>
      </c>
      <c r="C10" s="38" t="s">
        <v>178</v>
      </c>
      <c r="D10" s="38" t="s">
        <v>495</v>
      </c>
      <c r="E10" s="38" t="s">
        <v>397</v>
      </c>
      <c r="F10" s="38" t="s">
        <v>622</v>
      </c>
      <c r="G10" s="38" t="s">
        <v>268</v>
      </c>
      <c r="H10" s="38" t="s">
        <v>268</v>
      </c>
      <c r="I10" s="38" t="s">
        <v>495</v>
      </c>
      <c r="J10" s="38" t="s">
        <v>267</v>
      </c>
      <c r="K10" s="38" t="s">
        <v>120</v>
      </c>
      <c r="L10" s="38" t="s">
        <v>422</v>
      </c>
      <c r="M10" s="38" t="s">
        <v>87</v>
      </c>
      <c r="N10" s="38" t="s">
        <v>245</v>
      </c>
      <c r="O10" s="38" t="s">
        <v>371</v>
      </c>
      <c r="P10" s="38" t="s">
        <v>320</v>
      </c>
      <c r="Q10" s="38" t="s">
        <v>73</v>
      </c>
      <c r="R10" s="38" t="s">
        <v>446</v>
      </c>
      <c r="S10" s="38" t="s">
        <v>623</v>
      </c>
      <c r="T10" s="38" t="s">
        <v>268</v>
      </c>
      <c r="U10" s="38" t="s">
        <v>267</v>
      </c>
    </row>
    <row r="11" spans="1:24" x14ac:dyDescent="0.35">
      <c r="A11" s="37" t="s">
        <v>45</v>
      </c>
      <c r="B11" s="38">
        <v>85</v>
      </c>
      <c r="C11" s="38" t="s">
        <v>176</v>
      </c>
      <c r="D11" s="38" t="s">
        <v>495</v>
      </c>
      <c r="E11" s="38" t="s">
        <v>289</v>
      </c>
      <c r="F11" s="38" t="s">
        <v>600</v>
      </c>
      <c r="G11" s="38" t="s">
        <v>133</v>
      </c>
      <c r="H11" s="38" t="s">
        <v>133</v>
      </c>
      <c r="I11" s="38" t="s">
        <v>495</v>
      </c>
      <c r="J11" s="38" t="s">
        <v>80</v>
      </c>
      <c r="K11" s="38" t="s">
        <v>587</v>
      </c>
      <c r="L11" s="38" t="s">
        <v>624</v>
      </c>
      <c r="M11" s="38" t="s">
        <v>107</v>
      </c>
      <c r="N11" s="38" t="s">
        <v>495</v>
      </c>
      <c r="O11" s="38" t="s">
        <v>442</v>
      </c>
      <c r="P11" s="38" t="s">
        <v>85</v>
      </c>
      <c r="Q11" s="38" t="s">
        <v>195</v>
      </c>
      <c r="R11" s="38" t="s">
        <v>80</v>
      </c>
      <c r="S11" s="38" t="s">
        <v>599</v>
      </c>
      <c r="T11" s="38" t="s">
        <v>495</v>
      </c>
      <c r="U11" s="38" t="s">
        <v>495</v>
      </c>
    </row>
    <row r="12" spans="1:24" x14ac:dyDescent="0.35">
      <c r="A12" s="37" t="s">
        <v>48</v>
      </c>
      <c r="B12" s="38">
        <v>170</v>
      </c>
      <c r="C12" s="38" t="s">
        <v>104</v>
      </c>
      <c r="D12" s="38" t="s">
        <v>495</v>
      </c>
      <c r="E12" s="38" t="s">
        <v>496</v>
      </c>
      <c r="F12" s="38" t="s">
        <v>197</v>
      </c>
      <c r="G12" s="38" t="s">
        <v>133</v>
      </c>
      <c r="H12" s="38" t="s">
        <v>133</v>
      </c>
      <c r="I12" s="38" t="s">
        <v>495</v>
      </c>
      <c r="J12" s="38" t="s">
        <v>495</v>
      </c>
      <c r="K12" s="38" t="s">
        <v>327</v>
      </c>
      <c r="L12" s="38" t="s">
        <v>174</v>
      </c>
      <c r="M12" s="38" t="s">
        <v>96</v>
      </c>
      <c r="N12" s="38" t="s">
        <v>495</v>
      </c>
      <c r="O12" s="38" t="s">
        <v>429</v>
      </c>
      <c r="P12" s="38" t="s">
        <v>173</v>
      </c>
      <c r="Q12" s="38" t="s">
        <v>439</v>
      </c>
      <c r="R12" s="38" t="s">
        <v>206</v>
      </c>
      <c r="S12" s="38" t="s">
        <v>68</v>
      </c>
      <c r="T12" s="38" t="s">
        <v>96</v>
      </c>
      <c r="U12" s="38" t="s">
        <v>495</v>
      </c>
    </row>
    <row r="13" spans="1:24" x14ac:dyDescent="0.35">
      <c r="A13" s="37" t="s">
        <v>137</v>
      </c>
      <c r="B13" s="38">
        <v>29</v>
      </c>
      <c r="C13" s="38" t="s">
        <v>185</v>
      </c>
      <c r="D13" s="38" t="s">
        <v>495</v>
      </c>
      <c r="E13" s="38" t="s">
        <v>495</v>
      </c>
      <c r="F13" s="38" t="s">
        <v>185</v>
      </c>
      <c r="G13" s="38" t="s">
        <v>495</v>
      </c>
      <c r="H13" s="38" t="s">
        <v>495</v>
      </c>
      <c r="I13" s="38" t="s">
        <v>495</v>
      </c>
      <c r="J13" s="38" t="s">
        <v>495</v>
      </c>
      <c r="K13" s="38" t="s">
        <v>495</v>
      </c>
      <c r="L13" s="38" t="s">
        <v>495</v>
      </c>
      <c r="M13" s="38" t="s">
        <v>495</v>
      </c>
      <c r="N13" s="38" t="s">
        <v>495</v>
      </c>
      <c r="O13" s="38" t="s">
        <v>185</v>
      </c>
      <c r="P13" s="38" t="s">
        <v>185</v>
      </c>
      <c r="Q13" s="38" t="s">
        <v>495</v>
      </c>
      <c r="R13" s="38" t="s">
        <v>592</v>
      </c>
      <c r="S13" s="38" t="s">
        <v>495</v>
      </c>
      <c r="T13" s="38" t="s">
        <v>495</v>
      </c>
      <c r="U13" s="38" t="s">
        <v>495</v>
      </c>
    </row>
    <row r="14" spans="1:24" s="2" customFormat="1" x14ac:dyDescent="0.35">
      <c r="A14" s="33" t="s">
        <v>625</v>
      </c>
      <c r="B14" s="39">
        <v>1653</v>
      </c>
      <c r="C14" s="40" t="s">
        <v>105</v>
      </c>
      <c r="D14" s="40" t="s">
        <v>210</v>
      </c>
      <c r="E14" s="40" t="s">
        <v>444</v>
      </c>
      <c r="F14" s="40" t="s">
        <v>193</v>
      </c>
      <c r="G14" s="40" t="s">
        <v>267</v>
      </c>
      <c r="H14" s="40" t="s">
        <v>293</v>
      </c>
      <c r="I14" s="40" t="s">
        <v>495</v>
      </c>
      <c r="J14" s="40" t="s">
        <v>267</v>
      </c>
      <c r="K14" s="40" t="s">
        <v>248</v>
      </c>
      <c r="L14" s="40" t="s">
        <v>255</v>
      </c>
      <c r="M14" s="40" t="s">
        <v>267</v>
      </c>
      <c r="N14" s="40" t="s">
        <v>221</v>
      </c>
      <c r="O14" s="40" t="s">
        <v>504</v>
      </c>
      <c r="P14" s="40" t="s">
        <v>408</v>
      </c>
      <c r="Q14" s="40" t="s">
        <v>663</v>
      </c>
      <c r="R14" s="40" t="s">
        <v>664</v>
      </c>
      <c r="S14" s="40" t="s">
        <v>346</v>
      </c>
      <c r="T14" s="40" t="s">
        <v>293</v>
      </c>
      <c r="U14" s="40" t="s">
        <v>218</v>
      </c>
    </row>
    <row r="15" spans="1:24" s="2" customFormat="1" x14ac:dyDescent="0.35">
      <c r="A15" s="33" t="s">
        <v>485</v>
      </c>
      <c r="B15" s="40">
        <v>139</v>
      </c>
      <c r="C15" s="40" t="s">
        <v>268</v>
      </c>
      <c r="D15" s="40" t="s">
        <v>495</v>
      </c>
      <c r="E15" s="40" t="s">
        <v>130</v>
      </c>
      <c r="F15" s="40" t="s">
        <v>401</v>
      </c>
      <c r="G15" s="40" t="s">
        <v>119</v>
      </c>
      <c r="H15" s="40" t="s">
        <v>495</v>
      </c>
      <c r="I15" s="40" t="s">
        <v>495</v>
      </c>
      <c r="J15" s="40" t="s">
        <v>495</v>
      </c>
      <c r="K15" s="40" t="s">
        <v>206</v>
      </c>
      <c r="L15" s="40" t="s">
        <v>335</v>
      </c>
      <c r="M15" s="40" t="s">
        <v>119</v>
      </c>
      <c r="N15" s="40" t="s">
        <v>495</v>
      </c>
      <c r="O15" s="40" t="s">
        <v>665</v>
      </c>
      <c r="P15" s="40" t="s">
        <v>145</v>
      </c>
      <c r="Q15" s="40" t="s">
        <v>666</v>
      </c>
      <c r="R15" s="40" t="s">
        <v>667</v>
      </c>
      <c r="S15" s="40" t="s">
        <v>339</v>
      </c>
      <c r="T15" s="40" t="s">
        <v>495</v>
      </c>
      <c r="U15" s="40" t="s">
        <v>495</v>
      </c>
    </row>
  </sheetData>
  <autoFilter ref="A1:U1" xr:uid="{00000000-0001-0000-0300-000000000000}"/>
  <pageMargins left="0.7" right="0.7" top="0.75" bottom="0.75" header="0.3" footer="0.3"/>
  <pageSetup paperSize="9" scale="3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U13"/>
  <sheetViews>
    <sheetView topLeftCell="F1" workbookViewId="0">
      <selection activeCell="R8" sqref="R8"/>
    </sheetView>
  </sheetViews>
  <sheetFormatPr defaultColWidth="9.1796875" defaultRowHeight="14.5" x14ac:dyDescent="0.35"/>
  <cols>
    <col min="1" max="1" width="32.7265625" bestFit="1" customWidth="1"/>
    <col min="3" max="3" width="12.81640625" bestFit="1" customWidth="1"/>
    <col min="4" max="4" width="13.26953125" bestFit="1" customWidth="1"/>
    <col min="5" max="5" width="12.26953125" bestFit="1" customWidth="1"/>
    <col min="6" max="6" width="13.26953125" bestFit="1" customWidth="1"/>
    <col min="7" max="7" width="12.26953125" bestFit="1" customWidth="1"/>
    <col min="8" max="8" width="12.453125" bestFit="1" customWidth="1"/>
    <col min="9" max="9" width="13.7265625" bestFit="1" customWidth="1"/>
    <col min="10" max="11" width="12.54296875" bestFit="1" customWidth="1"/>
    <col min="12" max="12" width="11.81640625" bestFit="1" customWidth="1"/>
    <col min="13" max="13" width="13.1796875" bestFit="1" customWidth="1"/>
    <col min="14" max="14" width="12.453125" bestFit="1" customWidth="1"/>
    <col min="15" max="16" width="13" bestFit="1" customWidth="1"/>
    <col min="17" max="17" width="12" bestFit="1" customWidth="1"/>
    <col min="18" max="18" width="11.1796875" bestFit="1" customWidth="1"/>
    <col min="19" max="19" width="13.26953125" bestFit="1" customWidth="1"/>
    <col min="20" max="20" width="45.7265625" bestFit="1" customWidth="1"/>
    <col min="21" max="21" width="43.54296875" bestFit="1" customWidth="1"/>
  </cols>
  <sheetData>
    <row r="1" spans="1:21" s="1" customFormat="1" x14ac:dyDescent="0.3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23</v>
      </c>
      <c r="U1" s="1" t="s">
        <v>135</v>
      </c>
    </row>
    <row r="2" spans="1:21" x14ac:dyDescent="0.35">
      <c r="A2" t="s">
        <v>32</v>
      </c>
      <c r="B2" s="7">
        <v>63</v>
      </c>
      <c r="C2" s="9" t="s">
        <v>495</v>
      </c>
      <c r="D2" s="9" t="s">
        <v>363</v>
      </c>
      <c r="E2" s="9" t="s">
        <v>150</v>
      </c>
      <c r="F2" s="9" t="s">
        <v>286</v>
      </c>
      <c r="G2" s="9" t="s">
        <v>363</v>
      </c>
      <c r="H2" s="9" t="s">
        <v>363</v>
      </c>
      <c r="I2" s="9" t="s">
        <v>495</v>
      </c>
      <c r="J2" s="9" t="s">
        <v>495</v>
      </c>
      <c r="K2" s="9" t="s">
        <v>381</v>
      </c>
      <c r="L2" s="9" t="s">
        <v>65</v>
      </c>
      <c r="M2" s="9" t="s">
        <v>363</v>
      </c>
      <c r="N2" s="9" t="s">
        <v>495</v>
      </c>
      <c r="O2" s="9" t="s">
        <v>450</v>
      </c>
      <c r="P2" s="9" t="s">
        <v>367</v>
      </c>
      <c r="Q2" s="9" t="s">
        <v>414</v>
      </c>
      <c r="R2" s="9" t="s">
        <v>413</v>
      </c>
      <c r="S2" s="9" t="s">
        <v>108</v>
      </c>
      <c r="T2" s="9" t="s">
        <v>495</v>
      </c>
      <c r="U2" s="9" t="s">
        <v>495</v>
      </c>
    </row>
    <row r="3" spans="1:21" x14ac:dyDescent="0.35">
      <c r="A3" t="s">
        <v>36</v>
      </c>
      <c r="B3" s="7">
        <v>103</v>
      </c>
      <c r="C3" s="9" t="s">
        <v>220</v>
      </c>
      <c r="D3" s="9" t="s">
        <v>495</v>
      </c>
      <c r="E3" s="9" t="s">
        <v>69</v>
      </c>
      <c r="F3" s="9" t="s">
        <v>71</v>
      </c>
      <c r="G3" s="9" t="s">
        <v>267</v>
      </c>
      <c r="H3" s="9" t="s">
        <v>267</v>
      </c>
      <c r="I3" s="9" t="s">
        <v>495</v>
      </c>
      <c r="J3" s="9" t="s">
        <v>495</v>
      </c>
      <c r="K3" s="9" t="s">
        <v>203</v>
      </c>
      <c r="L3" s="9" t="s">
        <v>184</v>
      </c>
      <c r="M3" s="9" t="s">
        <v>267</v>
      </c>
      <c r="N3" s="9" t="s">
        <v>495</v>
      </c>
      <c r="O3" s="9" t="s">
        <v>408</v>
      </c>
      <c r="P3" s="9" t="s">
        <v>325</v>
      </c>
      <c r="Q3" s="9" t="s">
        <v>451</v>
      </c>
      <c r="R3" s="9" t="s">
        <v>452</v>
      </c>
      <c r="S3" s="9" t="s">
        <v>252</v>
      </c>
      <c r="T3" s="9" t="s">
        <v>495</v>
      </c>
      <c r="U3" s="9" t="s">
        <v>495</v>
      </c>
    </row>
    <row r="4" spans="1:21" x14ac:dyDescent="0.35">
      <c r="A4" t="s">
        <v>42</v>
      </c>
      <c r="B4" s="7">
        <v>92</v>
      </c>
      <c r="C4" s="9" t="s">
        <v>186</v>
      </c>
      <c r="D4" s="9" t="s">
        <v>212</v>
      </c>
      <c r="E4" s="9" t="s">
        <v>409</v>
      </c>
      <c r="F4" s="9" t="s">
        <v>453</v>
      </c>
      <c r="G4" s="9" t="s">
        <v>186</v>
      </c>
      <c r="H4" s="9" t="s">
        <v>186</v>
      </c>
      <c r="I4" s="9" t="s">
        <v>495</v>
      </c>
      <c r="J4" s="9" t="s">
        <v>70</v>
      </c>
      <c r="K4" s="9" t="s">
        <v>454</v>
      </c>
      <c r="L4" s="9" t="s">
        <v>455</v>
      </c>
      <c r="M4" s="9" t="s">
        <v>212</v>
      </c>
      <c r="N4" s="9" t="s">
        <v>495</v>
      </c>
      <c r="O4" s="9" t="s">
        <v>356</v>
      </c>
      <c r="P4" s="9" t="s">
        <v>455</v>
      </c>
      <c r="Q4" s="9" t="s">
        <v>309</v>
      </c>
      <c r="R4" s="9" t="s">
        <v>456</v>
      </c>
      <c r="S4" s="9" t="s">
        <v>457</v>
      </c>
      <c r="T4" s="9" t="s">
        <v>186</v>
      </c>
      <c r="U4" s="9" t="s">
        <v>212</v>
      </c>
    </row>
    <row r="5" spans="1:21" x14ac:dyDescent="0.35">
      <c r="A5" t="s">
        <v>45</v>
      </c>
      <c r="B5" s="7">
        <v>2</v>
      </c>
      <c r="C5" s="9" t="s">
        <v>495</v>
      </c>
      <c r="D5" s="9" t="s">
        <v>495</v>
      </c>
      <c r="E5" s="9" t="s">
        <v>495</v>
      </c>
      <c r="F5" s="9" t="s">
        <v>495</v>
      </c>
      <c r="G5" s="9" t="s">
        <v>495</v>
      </c>
      <c r="H5" s="9" t="s">
        <v>495</v>
      </c>
      <c r="I5" s="9" t="s">
        <v>495</v>
      </c>
      <c r="J5" s="9" t="s">
        <v>495</v>
      </c>
      <c r="K5" s="9" t="s">
        <v>499</v>
      </c>
      <c r="L5" s="9" t="s">
        <v>499</v>
      </c>
      <c r="M5" s="9" t="s">
        <v>495</v>
      </c>
      <c r="N5" s="9" t="s">
        <v>495</v>
      </c>
      <c r="O5" s="9" t="s">
        <v>495</v>
      </c>
      <c r="P5" s="9" t="s">
        <v>495</v>
      </c>
      <c r="Q5" s="9" t="s">
        <v>495</v>
      </c>
      <c r="R5" s="9" t="s">
        <v>499</v>
      </c>
      <c r="S5" s="9" t="s">
        <v>495</v>
      </c>
      <c r="T5" s="9" t="s">
        <v>495</v>
      </c>
      <c r="U5" s="9" t="s">
        <v>495</v>
      </c>
    </row>
    <row r="6" spans="1:21" x14ac:dyDescent="0.35">
      <c r="A6" t="s">
        <v>137</v>
      </c>
      <c r="B6" s="7">
        <v>1</v>
      </c>
      <c r="C6" s="9" t="s">
        <v>495</v>
      </c>
      <c r="D6" s="9" t="s">
        <v>495</v>
      </c>
      <c r="E6" s="9">
        <v>100</v>
      </c>
      <c r="F6" s="9" t="s">
        <v>495</v>
      </c>
      <c r="G6" s="9" t="s">
        <v>495</v>
      </c>
      <c r="H6" s="9" t="s">
        <v>495</v>
      </c>
      <c r="I6" s="9" t="s">
        <v>495</v>
      </c>
      <c r="J6" s="9" t="s">
        <v>495</v>
      </c>
      <c r="K6" s="9" t="s">
        <v>495</v>
      </c>
      <c r="L6" s="9" t="s">
        <v>495</v>
      </c>
      <c r="M6" s="9" t="s">
        <v>495</v>
      </c>
      <c r="N6" s="9" t="s">
        <v>495</v>
      </c>
      <c r="O6" s="9" t="s">
        <v>495</v>
      </c>
      <c r="P6" s="9" t="s">
        <v>495</v>
      </c>
      <c r="Q6" s="9">
        <v>100</v>
      </c>
      <c r="R6" s="9" t="s">
        <v>495</v>
      </c>
      <c r="S6" s="9" t="s">
        <v>495</v>
      </c>
      <c r="T6" s="9" t="s">
        <v>495</v>
      </c>
      <c r="U6" s="9" t="s">
        <v>495</v>
      </c>
    </row>
    <row r="7" spans="1:21" x14ac:dyDescent="0.35">
      <c r="A7" s="27" t="s">
        <v>601</v>
      </c>
      <c r="B7" s="7">
        <v>37</v>
      </c>
      <c r="C7" s="9" t="s">
        <v>495</v>
      </c>
      <c r="D7" s="9" t="s">
        <v>495</v>
      </c>
      <c r="E7" s="9" t="s">
        <v>495</v>
      </c>
      <c r="F7" s="9" t="s">
        <v>343</v>
      </c>
      <c r="G7" s="9" t="s">
        <v>495</v>
      </c>
      <c r="H7" s="9" t="s">
        <v>495</v>
      </c>
      <c r="I7" s="9" t="s">
        <v>495</v>
      </c>
      <c r="J7" s="9" t="s">
        <v>495</v>
      </c>
      <c r="K7" s="9" t="s">
        <v>495</v>
      </c>
      <c r="L7" s="9" t="s">
        <v>292</v>
      </c>
      <c r="M7" s="9" t="s">
        <v>495</v>
      </c>
      <c r="N7" s="9" t="s">
        <v>495</v>
      </c>
      <c r="O7" s="9" t="s">
        <v>444</v>
      </c>
      <c r="P7" s="9" t="s">
        <v>423</v>
      </c>
      <c r="Q7" s="9" t="s">
        <v>408</v>
      </c>
      <c r="R7" s="9" t="s">
        <v>333</v>
      </c>
      <c r="S7" s="9" t="s">
        <v>423</v>
      </c>
      <c r="T7" s="9" t="s">
        <v>495</v>
      </c>
      <c r="U7" s="9" t="s">
        <v>495</v>
      </c>
    </row>
    <row r="8" spans="1:21" s="2" customFormat="1" x14ac:dyDescent="0.35">
      <c r="A8" s="4" t="s">
        <v>488</v>
      </c>
      <c r="B8" s="8">
        <v>298</v>
      </c>
      <c r="C8" s="10" t="s">
        <v>116</v>
      </c>
      <c r="D8" s="10" t="s">
        <v>293</v>
      </c>
      <c r="E8" s="10" t="s">
        <v>78</v>
      </c>
      <c r="F8" s="10" t="s">
        <v>398</v>
      </c>
      <c r="G8" s="10" t="s">
        <v>116</v>
      </c>
      <c r="H8" s="10" t="s">
        <v>116</v>
      </c>
      <c r="I8" s="10" t="s">
        <v>495</v>
      </c>
      <c r="J8" s="10" t="s">
        <v>213</v>
      </c>
      <c r="K8" s="10" t="s">
        <v>403</v>
      </c>
      <c r="L8" s="10" t="s">
        <v>102</v>
      </c>
      <c r="M8" s="10" t="s">
        <v>267</v>
      </c>
      <c r="N8" s="10" t="s">
        <v>495</v>
      </c>
      <c r="O8" s="10" t="s">
        <v>276</v>
      </c>
      <c r="P8" s="10" t="s">
        <v>330</v>
      </c>
      <c r="Q8" s="10" t="s">
        <v>458</v>
      </c>
      <c r="R8" s="10" t="s">
        <v>459</v>
      </c>
      <c r="S8" s="10" t="s">
        <v>122</v>
      </c>
      <c r="T8" s="10" t="s">
        <v>293</v>
      </c>
      <c r="U8" s="10" t="s">
        <v>117</v>
      </c>
    </row>
    <row r="9" spans="1:21" s="2" customFormat="1" x14ac:dyDescent="0.35">
      <c r="A9" s="4" t="s">
        <v>489</v>
      </c>
      <c r="B9" s="8">
        <v>50</v>
      </c>
      <c r="C9" s="10" t="s">
        <v>495</v>
      </c>
      <c r="D9" s="10" t="s">
        <v>495</v>
      </c>
      <c r="E9" s="10" t="s">
        <v>460</v>
      </c>
      <c r="F9" s="10" t="s">
        <v>334</v>
      </c>
      <c r="G9" s="10" t="s">
        <v>119</v>
      </c>
      <c r="H9" s="10" t="s">
        <v>119</v>
      </c>
      <c r="I9" s="10" t="s">
        <v>495</v>
      </c>
      <c r="J9" s="10" t="s">
        <v>495</v>
      </c>
      <c r="K9" s="10" t="s">
        <v>353</v>
      </c>
      <c r="L9" s="10" t="s">
        <v>460</v>
      </c>
      <c r="M9" s="10" t="s">
        <v>119</v>
      </c>
      <c r="N9" s="10" t="s">
        <v>495</v>
      </c>
      <c r="O9" s="10" t="s">
        <v>461</v>
      </c>
      <c r="P9" s="10" t="s">
        <v>340</v>
      </c>
      <c r="Q9" s="10" t="s">
        <v>462</v>
      </c>
      <c r="R9" s="10" t="s">
        <v>445</v>
      </c>
      <c r="S9" s="10" t="s">
        <v>379</v>
      </c>
      <c r="T9" s="10" t="s">
        <v>495</v>
      </c>
      <c r="U9" s="10" t="s">
        <v>495</v>
      </c>
    </row>
    <row r="10" spans="1:21" x14ac:dyDescent="0.35">
      <c r="A10" t="s">
        <v>138</v>
      </c>
      <c r="B10" s="7">
        <v>2</v>
      </c>
      <c r="C10" s="9" t="s">
        <v>495</v>
      </c>
      <c r="D10" s="9" t="s">
        <v>495</v>
      </c>
      <c r="E10" s="9" t="s">
        <v>495</v>
      </c>
      <c r="F10" s="9" t="s">
        <v>495</v>
      </c>
      <c r="G10" s="9" t="s">
        <v>495</v>
      </c>
      <c r="H10" s="9" t="s">
        <v>495</v>
      </c>
      <c r="I10" s="9" t="s">
        <v>495</v>
      </c>
      <c r="J10" s="9" t="s">
        <v>495</v>
      </c>
      <c r="K10" s="9" t="s">
        <v>499</v>
      </c>
      <c r="L10" s="9" t="s">
        <v>499</v>
      </c>
      <c r="M10" s="9" t="s">
        <v>495</v>
      </c>
      <c r="N10" s="9" t="s">
        <v>495</v>
      </c>
      <c r="O10" s="9" t="s">
        <v>495</v>
      </c>
      <c r="P10" s="9" t="s">
        <v>495</v>
      </c>
      <c r="Q10" s="9" t="s">
        <v>495</v>
      </c>
      <c r="R10" s="9" t="s">
        <v>499</v>
      </c>
      <c r="S10" s="9" t="s">
        <v>495</v>
      </c>
      <c r="T10" s="9" t="s">
        <v>495</v>
      </c>
      <c r="U10" s="9" t="s">
        <v>495</v>
      </c>
    </row>
    <row r="11" spans="1:21" x14ac:dyDescent="0.35">
      <c r="A11" s="4" t="s">
        <v>510</v>
      </c>
      <c r="B11" s="8">
        <v>2</v>
      </c>
      <c r="C11" s="10" t="s">
        <v>495</v>
      </c>
      <c r="D11" s="10" t="s">
        <v>495</v>
      </c>
      <c r="E11" s="10" t="s">
        <v>495</v>
      </c>
      <c r="F11" s="10" t="s">
        <v>495</v>
      </c>
      <c r="G11" s="10" t="s">
        <v>495</v>
      </c>
      <c r="H11" s="10" t="s">
        <v>495</v>
      </c>
      <c r="I11" s="10" t="s">
        <v>495</v>
      </c>
      <c r="J11" s="10" t="s">
        <v>495</v>
      </c>
      <c r="K11" s="10" t="s">
        <v>499</v>
      </c>
      <c r="L11" s="10" t="s">
        <v>499</v>
      </c>
      <c r="M11" s="10" t="s">
        <v>495</v>
      </c>
      <c r="N11" s="10" t="s">
        <v>495</v>
      </c>
      <c r="O11" s="10" t="s">
        <v>495</v>
      </c>
      <c r="P11" s="10" t="s">
        <v>495</v>
      </c>
      <c r="Q11" s="10" t="s">
        <v>495</v>
      </c>
      <c r="R11" s="10" t="s">
        <v>499</v>
      </c>
      <c r="S11" s="10" t="s">
        <v>495</v>
      </c>
      <c r="T11" s="10" t="s">
        <v>495</v>
      </c>
      <c r="U11" s="10" t="s">
        <v>495</v>
      </c>
    </row>
    <row r="12" spans="1:21" s="2" customFormat="1" x14ac:dyDescent="0.35">
      <c r="A12" s="4" t="s">
        <v>491</v>
      </c>
      <c r="B12" s="8">
        <v>300</v>
      </c>
      <c r="C12" s="10" t="s">
        <v>116</v>
      </c>
      <c r="D12" s="10" t="s">
        <v>293</v>
      </c>
      <c r="E12" s="10" t="s">
        <v>78</v>
      </c>
      <c r="F12" s="10" t="s">
        <v>121</v>
      </c>
      <c r="G12" s="10" t="s">
        <v>116</v>
      </c>
      <c r="H12" s="10" t="s">
        <v>116</v>
      </c>
      <c r="I12" s="10" t="s">
        <v>495</v>
      </c>
      <c r="J12" s="10" t="s">
        <v>213</v>
      </c>
      <c r="K12" s="10" t="s">
        <v>75</v>
      </c>
      <c r="L12" s="10" t="s">
        <v>377</v>
      </c>
      <c r="M12" s="10" t="s">
        <v>267</v>
      </c>
      <c r="N12" s="10" t="s">
        <v>495</v>
      </c>
      <c r="O12" s="10" t="s">
        <v>463</v>
      </c>
      <c r="P12" s="10" t="s">
        <v>464</v>
      </c>
      <c r="Q12" s="10" t="s">
        <v>314</v>
      </c>
      <c r="R12" s="10" t="s">
        <v>459</v>
      </c>
      <c r="S12" s="10" t="s">
        <v>309</v>
      </c>
      <c r="T12" s="10" t="s">
        <v>293</v>
      </c>
      <c r="U12" s="10" t="s">
        <v>117</v>
      </c>
    </row>
    <row r="13" spans="1:21" s="2" customFormat="1" x14ac:dyDescent="0.35">
      <c r="A13" s="4" t="s">
        <v>487</v>
      </c>
      <c r="B13" s="8">
        <v>37</v>
      </c>
      <c r="C13" s="10" t="s">
        <v>495</v>
      </c>
      <c r="D13" s="10" t="s">
        <v>495</v>
      </c>
      <c r="E13" s="10" t="s">
        <v>150</v>
      </c>
      <c r="F13" s="10" t="s">
        <v>343</v>
      </c>
      <c r="G13" s="10" t="s">
        <v>495</v>
      </c>
      <c r="H13" s="10" t="s">
        <v>495</v>
      </c>
      <c r="I13" s="10" t="s">
        <v>495</v>
      </c>
      <c r="J13" s="10" t="s">
        <v>495</v>
      </c>
      <c r="K13" s="10" t="s">
        <v>381</v>
      </c>
      <c r="L13" s="10" t="s">
        <v>65</v>
      </c>
      <c r="M13" s="10" t="s">
        <v>495</v>
      </c>
      <c r="N13" s="10" t="s">
        <v>495</v>
      </c>
      <c r="O13" s="10" t="s">
        <v>444</v>
      </c>
      <c r="P13" s="10" t="s">
        <v>423</v>
      </c>
      <c r="Q13" s="10" t="s">
        <v>408</v>
      </c>
      <c r="R13" s="10" t="s">
        <v>499</v>
      </c>
      <c r="S13" s="10" t="s">
        <v>423</v>
      </c>
      <c r="T13" s="10" t="s">
        <v>495</v>
      </c>
      <c r="U13" s="10" t="s">
        <v>495</v>
      </c>
    </row>
  </sheetData>
  <autoFilter ref="A1:U1" xr:uid="{00000000-0001-0000-0400-000000000000}"/>
  <pageMargins left="0.7" right="0.7" top="0.75" bottom="0.75" header="0.3" footer="0.3"/>
  <pageSetup paperSize="9" scale="4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U16"/>
  <sheetViews>
    <sheetView tabSelected="1" topLeftCell="G1" workbookViewId="0">
      <selection activeCell="G34" sqref="G34"/>
    </sheetView>
  </sheetViews>
  <sheetFormatPr defaultColWidth="9.1796875" defaultRowHeight="14.5" x14ac:dyDescent="0.35"/>
  <cols>
    <col min="1" max="1" width="32.7265625" bestFit="1" customWidth="1"/>
    <col min="2" max="2" width="7" bestFit="1" customWidth="1"/>
    <col min="3" max="3" width="12.81640625" bestFit="1" customWidth="1"/>
    <col min="4" max="4" width="13.26953125" bestFit="1" customWidth="1"/>
    <col min="5" max="5" width="12.26953125" bestFit="1" customWidth="1"/>
    <col min="6" max="6" width="13.26953125" bestFit="1" customWidth="1"/>
    <col min="7" max="7" width="12.26953125" bestFit="1" customWidth="1"/>
    <col min="8" max="8" width="12.453125" bestFit="1" customWidth="1"/>
    <col min="9" max="9" width="13.7265625" bestFit="1" customWidth="1"/>
    <col min="10" max="11" width="12.54296875" bestFit="1" customWidth="1"/>
    <col min="12" max="12" width="11.81640625" bestFit="1" customWidth="1"/>
    <col min="13" max="13" width="13.1796875" bestFit="1" customWidth="1"/>
    <col min="14" max="14" width="12.453125" bestFit="1" customWidth="1"/>
    <col min="15" max="16" width="13" bestFit="1" customWidth="1"/>
    <col min="17" max="17" width="12" bestFit="1" customWidth="1"/>
    <col min="18" max="18" width="11.1796875" bestFit="1" customWidth="1"/>
    <col min="19" max="19" width="13.26953125" bestFit="1" customWidth="1"/>
    <col min="20" max="20" width="45.7265625" bestFit="1" customWidth="1"/>
    <col min="21" max="21" width="43.54296875" bestFit="1" customWidth="1"/>
  </cols>
  <sheetData>
    <row r="1" spans="1:21" s="1" customFormat="1" x14ac:dyDescent="0.3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23</v>
      </c>
      <c r="U1" s="1" t="s">
        <v>135</v>
      </c>
    </row>
    <row r="2" spans="1:21" x14ac:dyDescent="0.35">
      <c r="A2" t="s">
        <v>32</v>
      </c>
      <c r="B2" s="7">
        <v>54</v>
      </c>
      <c r="C2" s="9" t="s">
        <v>495</v>
      </c>
      <c r="D2" s="9" t="s">
        <v>495</v>
      </c>
      <c r="E2" s="9" t="s">
        <v>110</v>
      </c>
      <c r="F2" s="9" t="s">
        <v>377</v>
      </c>
      <c r="G2" s="9" t="s">
        <v>220</v>
      </c>
      <c r="H2" s="9" t="s">
        <v>220</v>
      </c>
      <c r="I2" s="9" t="s">
        <v>495</v>
      </c>
      <c r="J2" s="9" t="s">
        <v>495</v>
      </c>
      <c r="K2" s="9" t="s">
        <v>495</v>
      </c>
      <c r="L2" s="9" t="s">
        <v>143</v>
      </c>
      <c r="M2" s="9" t="s">
        <v>495</v>
      </c>
      <c r="N2" s="9" t="s">
        <v>495</v>
      </c>
      <c r="O2" s="9" t="s">
        <v>110</v>
      </c>
      <c r="P2" s="9" t="s">
        <v>495</v>
      </c>
      <c r="Q2" s="9" t="s">
        <v>377</v>
      </c>
      <c r="R2" s="9" t="s">
        <v>465</v>
      </c>
      <c r="S2" s="9" t="s">
        <v>377</v>
      </c>
      <c r="T2" s="9" t="s">
        <v>220</v>
      </c>
      <c r="U2" s="9" t="s">
        <v>495</v>
      </c>
    </row>
    <row r="3" spans="1:21" x14ac:dyDescent="0.35">
      <c r="A3" t="s">
        <v>36</v>
      </c>
      <c r="B3" s="7">
        <v>42</v>
      </c>
      <c r="C3" s="9" t="s">
        <v>167</v>
      </c>
      <c r="D3" s="9" t="s">
        <v>495</v>
      </c>
      <c r="E3" s="9" t="s">
        <v>167</v>
      </c>
      <c r="F3" s="9" t="s">
        <v>63</v>
      </c>
      <c r="G3" s="9" t="s">
        <v>495</v>
      </c>
      <c r="H3" s="9" t="s">
        <v>495</v>
      </c>
      <c r="I3" s="9" t="s">
        <v>495</v>
      </c>
      <c r="J3" s="9" t="s">
        <v>495</v>
      </c>
      <c r="K3" s="9" t="s">
        <v>495</v>
      </c>
      <c r="L3" s="9" t="s">
        <v>495</v>
      </c>
      <c r="M3" s="9" t="s">
        <v>495</v>
      </c>
      <c r="N3" s="9" t="s">
        <v>495</v>
      </c>
      <c r="O3" s="9" t="s">
        <v>63</v>
      </c>
      <c r="P3" s="9" t="s">
        <v>379</v>
      </c>
      <c r="Q3" s="9" t="s">
        <v>88</v>
      </c>
      <c r="R3" s="9" t="s">
        <v>466</v>
      </c>
      <c r="S3" s="9" t="s">
        <v>63</v>
      </c>
      <c r="T3" s="9" t="s">
        <v>495</v>
      </c>
      <c r="U3" s="9" t="s">
        <v>495</v>
      </c>
    </row>
    <row r="4" spans="1:21" s="2" customFormat="1" x14ac:dyDescent="0.35">
      <c r="A4" t="s">
        <v>37</v>
      </c>
      <c r="B4" s="7">
        <v>21</v>
      </c>
      <c r="C4" s="9" t="s">
        <v>495</v>
      </c>
      <c r="D4" s="9" t="s">
        <v>495</v>
      </c>
      <c r="E4" s="9" t="s">
        <v>495</v>
      </c>
      <c r="F4" s="9" t="s">
        <v>79</v>
      </c>
      <c r="G4" s="9" t="s">
        <v>495</v>
      </c>
      <c r="H4" s="9" t="s">
        <v>79</v>
      </c>
      <c r="I4" s="9" t="s">
        <v>495</v>
      </c>
      <c r="J4" s="9" t="s">
        <v>495</v>
      </c>
      <c r="K4" s="9" t="s">
        <v>495</v>
      </c>
      <c r="L4" s="9" t="s">
        <v>495</v>
      </c>
      <c r="M4" s="9" t="s">
        <v>495</v>
      </c>
      <c r="N4" s="9" t="s">
        <v>79</v>
      </c>
      <c r="O4" s="9" t="s">
        <v>79</v>
      </c>
      <c r="P4" s="9" t="s">
        <v>79</v>
      </c>
      <c r="Q4" s="9" t="s">
        <v>405</v>
      </c>
      <c r="R4" s="9" t="s">
        <v>64</v>
      </c>
      <c r="S4" s="9" t="s">
        <v>405</v>
      </c>
      <c r="T4" s="9" t="s">
        <v>495</v>
      </c>
      <c r="U4" s="9" t="s">
        <v>495</v>
      </c>
    </row>
    <row r="5" spans="1:21" s="2" customFormat="1" x14ac:dyDescent="0.35">
      <c r="A5" t="s">
        <v>42</v>
      </c>
      <c r="B5" s="7">
        <v>180</v>
      </c>
      <c r="C5" s="9" t="s">
        <v>212</v>
      </c>
      <c r="D5" s="9" t="s">
        <v>186</v>
      </c>
      <c r="E5" s="9" t="s">
        <v>495</v>
      </c>
      <c r="F5" s="9" t="s">
        <v>96</v>
      </c>
      <c r="G5" s="9" t="s">
        <v>495</v>
      </c>
      <c r="H5" s="9" t="s">
        <v>96</v>
      </c>
      <c r="I5" s="9" t="s">
        <v>495</v>
      </c>
      <c r="J5" s="9" t="s">
        <v>368</v>
      </c>
      <c r="K5" s="9" t="s">
        <v>96</v>
      </c>
      <c r="L5" s="9" t="s">
        <v>96</v>
      </c>
      <c r="M5" s="9" t="s">
        <v>495</v>
      </c>
      <c r="N5" s="9" t="s">
        <v>495</v>
      </c>
      <c r="O5" s="9" t="s">
        <v>190</v>
      </c>
      <c r="P5" s="9" t="s">
        <v>96</v>
      </c>
      <c r="Q5" s="9" t="s">
        <v>467</v>
      </c>
      <c r="R5" s="9" t="s">
        <v>503</v>
      </c>
      <c r="S5" s="9" t="s">
        <v>96</v>
      </c>
      <c r="T5" s="9" t="s">
        <v>495</v>
      </c>
      <c r="U5" s="9" t="s">
        <v>495</v>
      </c>
    </row>
    <row r="6" spans="1:21" x14ac:dyDescent="0.35">
      <c r="A6" t="s">
        <v>44</v>
      </c>
      <c r="B6" s="7">
        <v>8</v>
      </c>
      <c r="C6" s="9" t="s">
        <v>91</v>
      </c>
      <c r="D6" s="9" t="s">
        <v>495</v>
      </c>
      <c r="E6" s="9" t="s">
        <v>495</v>
      </c>
      <c r="F6" s="9" t="s">
        <v>495</v>
      </c>
      <c r="G6" s="9" t="s">
        <v>495</v>
      </c>
      <c r="H6" s="9" t="s">
        <v>495</v>
      </c>
      <c r="I6" s="9" t="s">
        <v>495</v>
      </c>
      <c r="J6" s="9" t="s">
        <v>495</v>
      </c>
      <c r="K6" s="9" t="s">
        <v>495</v>
      </c>
      <c r="L6" s="9" t="s">
        <v>495</v>
      </c>
      <c r="M6" s="9" t="s">
        <v>495</v>
      </c>
      <c r="N6" s="9" t="s">
        <v>495</v>
      </c>
      <c r="O6" s="9" t="s">
        <v>495</v>
      </c>
      <c r="P6" s="9" t="s">
        <v>495</v>
      </c>
      <c r="Q6" s="9" t="s">
        <v>495</v>
      </c>
      <c r="R6" s="9" t="s">
        <v>99</v>
      </c>
      <c r="S6" s="9" t="s">
        <v>495</v>
      </c>
      <c r="T6" s="9" t="s">
        <v>495</v>
      </c>
      <c r="U6" s="9" t="s">
        <v>495</v>
      </c>
    </row>
    <row r="7" spans="1:21" x14ac:dyDescent="0.35">
      <c r="A7" t="s">
        <v>45</v>
      </c>
      <c r="B7" s="7">
        <v>1</v>
      </c>
      <c r="C7" s="9" t="s">
        <v>495</v>
      </c>
      <c r="D7" s="9" t="s">
        <v>495</v>
      </c>
      <c r="E7" s="9" t="s">
        <v>495</v>
      </c>
      <c r="F7" s="9" t="s">
        <v>495</v>
      </c>
      <c r="G7" s="9" t="s">
        <v>495</v>
      </c>
      <c r="H7" s="9" t="s">
        <v>495</v>
      </c>
      <c r="I7" s="9" t="s">
        <v>495</v>
      </c>
      <c r="J7" s="9" t="s">
        <v>495</v>
      </c>
      <c r="K7" s="9" t="s">
        <v>495</v>
      </c>
      <c r="L7" s="9" t="s">
        <v>495</v>
      </c>
      <c r="M7" s="9" t="s">
        <v>495</v>
      </c>
      <c r="N7" s="9" t="s">
        <v>495</v>
      </c>
      <c r="O7" s="9" t="s">
        <v>495</v>
      </c>
      <c r="P7" s="9" t="s">
        <v>495</v>
      </c>
      <c r="Q7" s="9" t="s">
        <v>495</v>
      </c>
      <c r="R7" s="9">
        <v>100</v>
      </c>
      <c r="S7" s="9" t="s">
        <v>495</v>
      </c>
      <c r="T7" s="9" t="s">
        <v>495</v>
      </c>
      <c r="U7" s="9" t="s">
        <v>495</v>
      </c>
    </row>
    <row r="8" spans="1:21" x14ac:dyDescent="0.35">
      <c r="A8" t="s">
        <v>137</v>
      </c>
      <c r="B8" s="7">
        <v>5</v>
      </c>
      <c r="C8" s="9" t="s">
        <v>495</v>
      </c>
      <c r="D8" s="9" t="s">
        <v>495</v>
      </c>
      <c r="E8" s="9" t="s">
        <v>495</v>
      </c>
      <c r="F8" s="9" t="s">
        <v>495</v>
      </c>
      <c r="G8" s="9" t="s">
        <v>495</v>
      </c>
      <c r="H8" s="9" t="s">
        <v>495</v>
      </c>
      <c r="I8" s="9" t="s">
        <v>495</v>
      </c>
      <c r="J8" s="9" t="s">
        <v>495</v>
      </c>
      <c r="K8" s="9" t="s">
        <v>495</v>
      </c>
      <c r="L8" s="9" t="s">
        <v>495</v>
      </c>
      <c r="M8" s="9" t="s">
        <v>495</v>
      </c>
      <c r="N8" s="9" t="s">
        <v>495</v>
      </c>
      <c r="O8" s="9" t="s">
        <v>495</v>
      </c>
      <c r="P8" s="9" t="s">
        <v>495</v>
      </c>
      <c r="Q8" s="9" t="s">
        <v>495</v>
      </c>
      <c r="R8" s="9">
        <v>100</v>
      </c>
      <c r="S8" s="9" t="s">
        <v>495</v>
      </c>
      <c r="T8" s="9" t="s">
        <v>495</v>
      </c>
      <c r="U8" s="9" t="s">
        <v>495</v>
      </c>
    </row>
    <row r="9" spans="1:21" x14ac:dyDescent="0.35">
      <c r="A9" s="27" t="s">
        <v>601</v>
      </c>
      <c r="B9" s="7">
        <v>38</v>
      </c>
      <c r="C9" s="9" t="s">
        <v>495</v>
      </c>
      <c r="D9" s="9" t="s">
        <v>495</v>
      </c>
      <c r="E9" s="9" t="s">
        <v>495</v>
      </c>
      <c r="F9" s="9" t="s">
        <v>468</v>
      </c>
      <c r="G9" s="9" t="s">
        <v>495</v>
      </c>
      <c r="H9" s="9" t="s">
        <v>495</v>
      </c>
      <c r="I9" s="9" t="s">
        <v>495</v>
      </c>
      <c r="J9" s="9" t="s">
        <v>495</v>
      </c>
      <c r="K9" s="9" t="s">
        <v>495</v>
      </c>
      <c r="L9" s="9" t="s">
        <v>495</v>
      </c>
      <c r="M9" s="9" t="s">
        <v>495</v>
      </c>
      <c r="N9" s="9" t="s">
        <v>495</v>
      </c>
      <c r="O9" s="9" t="s">
        <v>495</v>
      </c>
      <c r="P9" s="9" t="s">
        <v>161</v>
      </c>
      <c r="Q9" s="9" t="s">
        <v>468</v>
      </c>
      <c r="R9" s="9" t="s">
        <v>469</v>
      </c>
      <c r="S9" s="9" t="s">
        <v>495</v>
      </c>
      <c r="T9" s="9" t="s">
        <v>495</v>
      </c>
      <c r="U9" s="9" t="s">
        <v>495</v>
      </c>
    </row>
    <row r="10" spans="1:21" s="2" customFormat="1" x14ac:dyDescent="0.35">
      <c r="A10" s="4" t="s">
        <v>486</v>
      </c>
      <c r="B10" s="8">
        <v>349</v>
      </c>
      <c r="C10" s="10" t="s">
        <v>212</v>
      </c>
      <c r="D10" s="10" t="s">
        <v>212</v>
      </c>
      <c r="E10" s="10" t="s">
        <v>163</v>
      </c>
      <c r="F10" s="10" t="s">
        <v>273</v>
      </c>
      <c r="G10" s="10" t="s">
        <v>117</v>
      </c>
      <c r="H10" s="10" t="s">
        <v>163</v>
      </c>
      <c r="I10" s="10" t="s">
        <v>495</v>
      </c>
      <c r="J10" s="10" t="s">
        <v>142</v>
      </c>
      <c r="K10" s="10" t="s">
        <v>117</v>
      </c>
      <c r="L10" s="10" t="s">
        <v>212</v>
      </c>
      <c r="M10" s="10" t="s">
        <v>495</v>
      </c>
      <c r="N10" s="10" t="s">
        <v>117</v>
      </c>
      <c r="O10" s="10" t="s">
        <v>185</v>
      </c>
      <c r="P10" s="10" t="s">
        <v>112</v>
      </c>
      <c r="Q10" s="10" t="s">
        <v>508</v>
      </c>
      <c r="R10" s="10" t="s">
        <v>548</v>
      </c>
      <c r="S10" s="10" t="s">
        <v>217</v>
      </c>
      <c r="T10" s="10" t="s">
        <v>117</v>
      </c>
      <c r="U10" s="10" t="s">
        <v>495</v>
      </c>
    </row>
    <row r="11" spans="1:21" s="2" customFormat="1" x14ac:dyDescent="0.35">
      <c r="A11" s="4" t="s">
        <v>489</v>
      </c>
      <c r="B11" s="8">
        <v>30</v>
      </c>
      <c r="C11" s="10" t="s">
        <v>495</v>
      </c>
      <c r="D11" s="10" t="s">
        <v>495</v>
      </c>
      <c r="E11" s="10" t="s">
        <v>495</v>
      </c>
      <c r="F11" s="10" t="s">
        <v>292</v>
      </c>
      <c r="G11" s="10" t="s">
        <v>495</v>
      </c>
      <c r="H11" s="10" t="s">
        <v>495</v>
      </c>
      <c r="I11" s="10" t="s">
        <v>495</v>
      </c>
      <c r="J11" s="10" t="s">
        <v>495</v>
      </c>
      <c r="K11" s="10" t="s">
        <v>495</v>
      </c>
      <c r="L11" s="10" t="s">
        <v>495</v>
      </c>
      <c r="M11" s="10" t="s">
        <v>495</v>
      </c>
      <c r="N11" s="10" t="s">
        <v>495</v>
      </c>
      <c r="O11" s="10" t="s">
        <v>342</v>
      </c>
      <c r="P11" s="10" t="s">
        <v>117</v>
      </c>
      <c r="Q11" s="10" t="s">
        <v>90</v>
      </c>
      <c r="R11" s="10" t="s">
        <v>419</v>
      </c>
      <c r="S11" s="10" t="s">
        <v>117</v>
      </c>
      <c r="T11" s="10" t="s">
        <v>495</v>
      </c>
      <c r="U11" s="10" t="s">
        <v>495</v>
      </c>
    </row>
    <row r="12" spans="1:21" x14ac:dyDescent="0.35">
      <c r="A12" t="s">
        <v>138</v>
      </c>
      <c r="B12" s="7">
        <v>2</v>
      </c>
      <c r="C12" s="9" t="s">
        <v>495</v>
      </c>
      <c r="D12" s="9" t="s">
        <v>495</v>
      </c>
      <c r="E12" s="9" t="s">
        <v>499</v>
      </c>
      <c r="F12" s="9">
        <v>100</v>
      </c>
      <c r="G12" s="9" t="s">
        <v>495</v>
      </c>
      <c r="H12" s="9" t="s">
        <v>495</v>
      </c>
      <c r="I12" s="9" t="s">
        <v>495</v>
      </c>
      <c r="J12" s="9" t="s">
        <v>495</v>
      </c>
      <c r="K12" s="9" t="s">
        <v>499</v>
      </c>
      <c r="L12" s="9" t="s">
        <v>499</v>
      </c>
      <c r="M12" s="9" t="s">
        <v>499</v>
      </c>
      <c r="N12" s="9" t="s">
        <v>495</v>
      </c>
      <c r="O12" s="9">
        <v>100</v>
      </c>
      <c r="P12" s="9">
        <v>100</v>
      </c>
      <c r="Q12" s="9">
        <v>100</v>
      </c>
      <c r="R12" s="9" t="s">
        <v>495</v>
      </c>
      <c r="S12" s="9">
        <v>100</v>
      </c>
      <c r="T12" s="9" t="s">
        <v>495</v>
      </c>
      <c r="U12" s="9" t="s">
        <v>495</v>
      </c>
    </row>
    <row r="13" spans="1:21" x14ac:dyDescent="0.35">
      <c r="A13" t="s">
        <v>141</v>
      </c>
      <c r="B13" s="7">
        <v>24</v>
      </c>
      <c r="C13" s="9" t="s">
        <v>495</v>
      </c>
      <c r="D13" s="9" t="s">
        <v>495</v>
      </c>
      <c r="E13" s="9" t="s">
        <v>495</v>
      </c>
      <c r="F13" s="9" t="s">
        <v>88</v>
      </c>
      <c r="G13" s="9" t="s">
        <v>495</v>
      </c>
      <c r="H13" s="9" t="s">
        <v>495</v>
      </c>
      <c r="I13" s="9" t="s">
        <v>495</v>
      </c>
      <c r="J13" s="9" t="s">
        <v>495</v>
      </c>
      <c r="K13" s="9" t="s">
        <v>495</v>
      </c>
      <c r="L13" s="9" t="s">
        <v>495</v>
      </c>
      <c r="M13" s="9" t="s">
        <v>495</v>
      </c>
      <c r="N13" s="9" t="s">
        <v>495</v>
      </c>
      <c r="O13" s="9" t="s">
        <v>87</v>
      </c>
      <c r="P13" s="9" t="s">
        <v>495</v>
      </c>
      <c r="Q13" s="9" t="s">
        <v>87</v>
      </c>
      <c r="R13" s="9" t="s">
        <v>417</v>
      </c>
      <c r="S13" s="9" t="s">
        <v>495</v>
      </c>
      <c r="T13" s="9" t="s">
        <v>495</v>
      </c>
      <c r="U13" s="9" t="s">
        <v>495</v>
      </c>
    </row>
    <row r="14" spans="1:21" s="2" customFormat="1" x14ac:dyDescent="0.35">
      <c r="A14" s="4" t="s">
        <v>507</v>
      </c>
      <c r="B14" s="8">
        <v>26</v>
      </c>
      <c r="C14" s="10" t="s">
        <v>495</v>
      </c>
      <c r="D14" s="10" t="s">
        <v>495</v>
      </c>
      <c r="E14" s="10" t="s">
        <v>76</v>
      </c>
      <c r="F14" s="10" t="s">
        <v>511</v>
      </c>
      <c r="G14" s="10" t="s">
        <v>495</v>
      </c>
      <c r="H14" s="10" t="s">
        <v>495</v>
      </c>
      <c r="I14" s="10" t="s">
        <v>495</v>
      </c>
      <c r="J14" s="10" t="s">
        <v>495</v>
      </c>
      <c r="K14" s="10" t="s">
        <v>76</v>
      </c>
      <c r="L14" s="10" t="s">
        <v>76</v>
      </c>
      <c r="M14" s="10" t="s">
        <v>76</v>
      </c>
      <c r="N14" s="10" t="s">
        <v>495</v>
      </c>
      <c r="O14" s="10" t="s">
        <v>127</v>
      </c>
      <c r="P14" s="10" t="s">
        <v>78</v>
      </c>
      <c r="Q14" s="10" t="s">
        <v>127</v>
      </c>
      <c r="R14" s="10" t="s">
        <v>512</v>
      </c>
      <c r="S14" s="10" t="s">
        <v>78</v>
      </c>
      <c r="T14" s="10" t="s">
        <v>495</v>
      </c>
      <c r="U14" s="10" t="s">
        <v>495</v>
      </c>
    </row>
    <row r="15" spans="1:21" s="2" customFormat="1" x14ac:dyDescent="0.35">
      <c r="A15" s="4" t="s">
        <v>513</v>
      </c>
      <c r="B15" s="8">
        <v>375</v>
      </c>
      <c r="C15" s="10" t="s">
        <v>212</v>
      </c>
      <c r="D15" s="10" t="s">
        <v>212</v>
      </c>
      <c r="E15" s="10" t="s">
        <v>212</v>
      </c>
      <c r="F15" s="10" t="s">
        <v>80</v>
      </c>
      <c r="G15" s="10" t="s">
        <v>117</v>
      </c>
      <c r="H15" s="10" t="s">
        <v>342</v>
      </c>
      <c r="I15" s="10" t="s">
        <v>495</v>
      </c>
      <c r="J15" s="10" t="s">
        <v>116</v>
      </c>
      <c r="K15" s="10" t="s">
        <v>119</v>
      </c>
      <c r="L15" s="10" t="s">
        <v>116</v>
      </c>
      <c r="M15" s="10" t="s">
        <v>117</v>
      </c>
      <c r="N15" s="10" t="s">
        <v>117</v>
      </c>
      <c r="O15" s="10" t="s">
        <v>217</v>
      </c>
      <c r="P15" s="10" t="s">
        <v>292</v>
      </c>
      <c r="Q15" s="10" t="s">
        <v>460</v>
      </c>
      <c r="R15" s="10" t="s">
        <v>549</v>
      </c>
      <c r="S15" s="10" t="s">
        <v>393</v>
      </c>
      <c r="T15" s="10" t="s">
        <v>117</v>
      </c>
      <c r="U15" s="10" t="s">
        <v>495</v>
      </c>
    </row>
    <row r="16" spans="1:21" s="2" customFormat="1" x14ac:dyDescent="0.35">
      <c r="A16" s="4" t="s">
        <v>487</v>
      </c>
      <c r="B16" s="8">
        <v>23</v>
      </c>
      <c r="C16" s="10" t="s">
        <v>495</v>
      </c>
      <c r="D16" s="10" t="s">
        <v>495</v>
      </c>
      <c r="E16" s="10" t="s">
        <v>495</v>
      </c>
      <c r="F16" s="10" t="s">
        <v>150</v>
      </c>
      <c r="G16" s="10" t="s">
        <v>495</v>
      </c>
      <c r="H16" s="10" t="s">
        <v>495</v>
      </c>
      <c r="I16" s="10" t="s">
        <v>495</v>
      </c>
      <c r="J16" s="10" t="s">
        <v>495</v>
      </c>
      <c r="K16" s="10" t="s">
        <v>495</v>
      </c>
      <c r="L16" s="10" t="s">
        <v>495</v>
      </c>
      <c r="M16" s="10" t="s">
        <v>495</v>
      </c>
      <c r="N16" s="10" t="s">
        <v>495</v>
      </c>
      <c r="O16" s="10" t="s">
        <v>292</v>
      </c>
      <c r="P16" s="10" t="s">
        <v>117</v>
      </c>
      <c r="Q16" s="10" t="s">
        <v>90</v>
      </c>
      <c r="R16" s="10" t="s">
        <v>470</v>
      </c>
      <c r="S16" s="10" t="s">
        <v>117</v>
      </c>
      <c r="T16" s="10" t="s">
        <v>495</v>
      </c>
      <c r="U16" s="10" t="s">
        <v>495</v>
      </c>
    </row>
  </sheetData>
  <autoFilter ref="A1:U1" xr:uid="{00000000-0001-0000-0500-000000000000}"/>
  <pageMargins left="0.7" right="0.7" top="0.75" bottom="0.75" header="0.3" footer="0.3"/>
  <pageSetup paperSize="9" scale="38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X16"/>
  <sheetViews>
    <sheetView workbookViewId="0">
      <selection activeCell="A14" sqref="A14"/>
    </sheetView>
  </sheetViews>
  <sheetFormatPr defaultColWidth="9.1796875" defaultRowHeight="14.5" x14ac:dyDescent="0.35"/>
  <cols>
    <col min="1" max="1" width="29.453125" bestFit="1" customWidth="1"/>
    <col min="3" max="3" width="12.81640625" bestFit="1" customWidth="1"/>
    <col min="4" max="4" width="13.26953125" bestFit="1" customWidth="1"/>
    <col min="5" max="5" width="12.26953125" bestFit="1" customWidth="1"/>
    <col min="6" max="6" width="13.26953125" bestFit="1" customWidth="1"/>
    <col min="7" max="7" width="12.26953125" bestFit="1" customWidth="1"/>
    <col min="8" max="8" width="12.453125" bestFit="1" customWidth="1"/>
    <col min="9" max="9" width="13.7265625" bestFit="1" customWidth="1"/>
    <col min="10" max="11" width="12.54296875" bestFit="1" customWidth="1"/>
    <col min="12" max="12" width="11.81640625" bestFit="1" customWidth="1"/>
    <col min="13" max="13" width="13.1796875" bestFit="1" customWidth="1"/>
    <col min="14" max="14" width="12.453125" bestFit="1" customWidth="1"/>
    <col min="15" max="16" width="13" bestFit="1" customWidth="1"/>
    <col min="17" max="17" width="12" bestFit="1" customWidth="1"/>
    <col min="18" max="18" width="11.1796875" bestFit="1" customWidth="1"/>
    <col min="19" max="19" width="13.26953125" bestFit="1" customWidth="1"/>
    <col min="20" max="20" width="45.7265625" bestFit="1" customWidth="1"/>
    <col min="21" max="21" width="43.54296875" bestFit="1" customWidth="1"/>
  </cols>
  <sheetData>
    <row r="1" spans="1:24" s="1" customFormat="1" x14ac:dyDescent="0.3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23</v>
      </c>
      <c r="U1" s="1" t="s">
        <v>135</v>
      </c>
    </row>
    <row r="2" spans="1:24" x14ac:dyDescent="0.35">
      <c r="A2" s="28" t="s">
        <v>25</v>
      </c>
      <c r="B2" s="9">
        <v>4</v>
      </c>
      <c r="C2" s="9" t="s">
        <v>303</v>
      </c>
      <c r="D2" s="9" t="s">
        <v>495</v>
      </c>
      <c r="E2" s="9" t="s">
        <v>495</v>
      </c>
      <c r="F2" s="9" t="s">
        <v>499</v>
      </c>
      <c r="G2" s="9" t="s">
        <v>303</v>
      </c>
      <c r="H2" s="9" t="s">
        <v>303</v>
      </c>
      <c r="I2" s="9" t="s">
        <v>495</v>
      </c>
      <c r="J2" s="9" t="s">
        <v>495</v>
      </c>
      <c r="K2" s="9" t="s">
        <v>472</v>
      </c>
      <c r="L2" s="9" t="s">
        <v>472</v>
      </c>
      <c r="M2" s="9" t="s">
        <v>495</v>
      </c>
      <c r="N2" s="9" t="s">
        <v>495</v>
      </c>
      <c r="O2" s="9" t="s">
        <v>303</v>
      </c>
      <c r="P2" s="9" t="s">
        <v>303</v>
      </c>
      <c r="Q2" s="9" t="s">
        <v>303</v>
      </c>
      <c r="R2" s="9" t="s">
        <v>495</v>
      </c>
      <c r="S2" s="9" t="s">
        <v>499</v>
      </c>
      <c r="T2" s="9" t="s">
        <v>495</v>
      </c>
      <c r="U2" s="9" t="s">
        <v>495</v>
      </c>
    </row>
    <row r="3" spans="1:24" x14ac:dyDescent="0.35">
      <c r="A3" s="28" t="s">
        <v>27</v>
      </c>
      <c r="B3" s="9">
        <v>5</v>
      </c>
      <c r="C3" s="9" t="s">
        <v>495</v>
      </c>
      <c r="D3" s="9" t="s">
        <v>495</v>
      </c>
      <c r="E3" s="9" t="s">
        <v>498</v>
      </c>
      <c r="F3" s="9">
        <v>100</v>
      </c>
      <c r="G3" s="9" t="s">
        <v>495</v>
      </c>
      <c r="H3" s="9" t="s">
        <v>495</v>
      </c>
      <c r="I3" s="9" t="s">
        <v>495</v>
      </c>
      <c r="J3" s="9" t="s">
        <v>495</v>
      </c>
      <c r="K3" s="9">
        <v>100</v>
      </c>
      <c r="L3" s="9">
        <v>100</v>
      </c>
      <c r="M3" s="9" t="s">
        <v>495</v>
      </c>
      <c r="N3" s="9" t="s">
        <v>495</v>
      </c>
      <c r="O3" s="9" t="s">
        <v>497</v>
      </c>
      <c r="P3" s="9" t="s">
        <v>497</v>
      </c>
      <c r="Q3" s="9" t="s">
        <v>501</v>
      </c>
      <c r="R3" s="9" t="s">
        <v>495</v>
      </c>
      <c r="S3" s="9">
        <v>100</v>
      </c>
      <c r="T3" s="9" t="s">
        <v>495</v>
      </c>
      <c r="U3" s="9" t="s">
        <v>495</v>
      </c>
    </row>
    <row r="4" spans="1:24" x14ac:dyDescent="0.35">
      <c r="A4" s="28" t="s">
        <v>32</v>
      </c>
      <c r="B4" s="9">
        <v>63</v>
      </c>
      <c r="C4" s="9" t="s">
        <v>626</v>
      </c>
      <c r="D4" s="9" t="s">
        <v>495</v>
      </c>
      <c r="E4" s="9" t="s">
        <v>79</v>
      </c>
      <c r="F4" s="9" t="s">
        <v>226</v>
      </c>
      <c r="G4" s="9" t="s">
        <v>363</v>
      </c>
      <c r="H4" s="9" t="s">
        <v>363</v>
      </c>
      <c r="I4" s="9" t="s">
        <v>495</v>
      </c>
      <c r="J4" s="9" t="s">
        <v>495</v>
      </c>
      <c r="K4" s="9" t="s">
        <v>65</v>
      </c>
      <c r="L4" s="9" t="s">
        <v>626</v>
      </c>
      <c r="M4" s="9" t="s">
        <v>495</v>
      </c>
      <c r="N4" s="9" t="s">
        <v>495</v>
      </c>
      <c r="O4" s="9" t="s">
        <v>72</v>
      </c>
      <c r="P4" s="9" t="s">
        <v>280</v>
      </c>
      <c r="Q4" s="9" t="s">
        <v>86</v>
      </c>
      <c r="R4" s="9" t="s">
        <v>413</v>
      </c>
      <c r="S4" s="9" t="s">
        <v>108</v>
      </c>
      <c r="T4" s="9" t="s">
        <v>363</v>
      </c>
      <c r="U4" s="9" t="s">
        <v>495</v>
      </c>
    </row>
    <row r="5" spans="1:24" s="2" customFormat="1" x14ac:dyDescent="0.35">
      <c r="A5" s="28" t="s">
        <v>33</v>
      </c>
      <c r="B5" s="9">
        <v>3</v>
      </c>
      <c r="C5" s="9" t="s">
        <v>72</v>
      </c>
      <c r="D5" s="9" t="s">
        <v>495</v>
      </c>
      <c r="E5" s="9" t="s">
        <v>72</v>
      </c>
      <c r="F5" s="9" t="s">
        <v>73</v>
      </c>
      <c r="G5" s="9" t="s">
        <v>73</v>
      </c>
      <c r="H5" s="9" t="s">
        <v>73</v>
      </c>
      <c r="I5" s="9" t="s">
        <v>495</v>
      </c>
      <c r="J5" s="9" t="s">
        <v>495</v>
      </c>
      <c r="K5" s="9">
        <v>100</v>
      </c>
      <c r="L5" s="9">
        <v>100</v>
      </c>
      <c r="M5" s="9" t="s">
        <v>495</v>
      </c>
      <c r="N5" s="9" t="s">
        <v>495</v>
      </c>
      <c r="O5" s="9" t="s">
        <v>73</v>
      </c>
      <c r="P5" s="9" t="s">
        <v>73</v>
      </c>
      <c r="Q5" s="9" t="s">
        <v>73</v>
      </c>
      <c r="R5" s="9" t="s">
        <v>495</v>
      </c>
      <c r="S5" s="9" t="s">
        <v>73</v>
      </c>
      <c r="T5" s="9" t="s">
        <v>73</v>
      </c>
      <c r="U5" s="9" t="s">
        <v>495</v>
      </c>
      <c r="X5"/>
    </row>
    <row r="6" spans="1:24" s="2" customFormat="1" x14ac:dyDescent="0.35">
      <c r="A6" s="28" t="s">
        <v>36</v>
      </c>
      <c r="B6" s="9">
        <v>21</v>
      </c>
      <c r="C6" s="9" t="s">
        <v>495</v>
      </c>
      <c r="D6" s="9" t="s">
        <v>495</v>
      </c>
      <c r="E6" s="9" t="s">
        <v>495</v>
      </c>
      <c r="F6" s="9" t="s">
        <v>68</v>
      </c>
      <c r="G6" s="9" t="s">
        <v>79</v>
      </c>
      <c r="H6" s="9" t="s">
        <v>79</v>
      </c>
      <c r="I6" s="9" t="s">
        <v>495</v>
      </c>
      <c r="J6" s="9" t="s">
        <v>495</v>
      </c>
      <c r="K6" s="9" t="s">
        <v>280</v>
      </c>
      <c r="L6" s="9" t="s">
        <v>367</v>
      </c>
      <c r="M6" s="9" t="s">
        <v>495</v>
      </c>
      <c r="N6" s="9" t="s">
        <v>495</v>
      </c>
      <c r="O6" s="9" t="s">
        <v>405</v>
      </c>
      <c r="P6" s="9" t="s">
        <v>405</v>
      </c>
      <c r="Q6" s="9" t="s">
        <v>226</v>
      </c>
      <c r="R6" s="9" t="s">
        <v>66</v>
      </c>
      <c r="S6" s="9" t="s">
        <v>63</v>
      </c>
      <c r="T6" s="9" t="s">
        <v>79</v>
      </c>
      <c r="U6" s="9" t="s">
        <v>495</v>
      </c>
      <c r="X6"/>
    </row>
    <row r="7" spans="1:24" x14ac:dyDescent="0.35">
      <c r="A7" s="28" t="s">
        <v>37</v>
      </c>
      <c r="B7" s="9">
        <v>3</v>
      </c>
      <c r="C7" s="9" t="s">
        <v>495</v>
      </c>
      <c r="D7" s="9" t="s">
        <v>495</v>
      </c>
      <c r="E7" s="9" t="s">
        <v>73</v>
      </c>
      <c r="F7" s="9" t="s">
        <v>73</v>
      </c>
      <c r="G7" s="9" t="s">
        <v>72</v>
      </c>
      <c r="H7" s="9" t="s">
        <v>495</v>
      </c>
      <c r="I7" s="9" t="s">
        <v>495</v>
      </c>
      <c r="J7" s="9" t="s">
        <v>495</v>
      </c>
      <c r="K7" s="9" t="s">
        <v>72</v>
      </c>
      <c r="L7" s="9" t="s">
        <v>72</v>
      </c>
      <c r="M7" s="9" t="s">
        <v>495</v>
      </c>
      <c r="N7" s="9" t="s">
        <v>495</v>
      </c>
      <c r="O7" s="9" t="s">
        <v>72</v>
      </c>
      <c r="P7" s="9" t="s">
        <v>72</v>
      </c>
      <c r="Q7" s="9" t="s">
        <v>73</v>
      </c>
      <c r="R7" s="9" t="s">
        <v>72</v>
      </c>
      <c r="S7" s="9" t="s">
        <v>73</v>
      </c>
      <c r="T7" s="9" t="s">
        <v>72</v>
      </c>
      <c r="U7" s="9" t="s">
        <v>72</v>
      </c>
    </row>
    <row r="8" spans="1:24" x14ac:dyDescent="0.35">
      <c r="A8" s="28" t="s">
        <v>42</v>
      </c>
      <c r="B8" s="9">
        <v>116</v>
      </c>
      <c r="C8" s="9" t="s">
        <v>134</v>
      </c>
      <c r="D8" s="9" t="s">
        <v>190</v>
      </c>
      <c r="E8" s="9" t="s">
        <v>183</v>
      </c>
      <c r="F8" s="9" t="s">
        <v>319</v>
      </c>
      <c r="G8" s="9" t="s">
        <v>134</v>
      </c>
      <c r="H8" s="9" t="s">
        <v>172</v>
      </c>
      <c r="I8" s="9" t="s">
        <v>495</v>
      </c>
      <c r="J8" s="9" t="s">
        <v>185</v>
      </c>
      <c r="K8" s="9" t="s">
        <v>339</v>
      </c>
      <c r="L8" s="9" t="s">
        <v>447</v>
      </c>
      <c r="M8" s="9" t="s">
        <v>495</v>
      </c>
      <c r="N8" s="9" t="s">
        <v>495</v>
      </c>
      <c r="O8" s="9" t="s">
        <v>627</v>
      </c>
      <c r="P8" s="9" t="s">
        <v>431</v>
      </c>
      <c r="Q8" s="9" t="s">
        <v>426</v>
      </c>
      <c r="R8" s="9" t="s">
        <v>429</v>
      </c>
      <c r="S8" s="9" t="s">
        <v>415</v>
      </c>
      <c r="T8" s="9" t="s">
        <v>191</v>
      </c>
      <c r="U8" s="9" t="s">
        <v>297</v>
      </c>
    </row>
    <row r="9" spans="1:24" s="2" customFormat="1" x14ac:dyDescent="0.35">
      <c r="A9" s="28" t="s">
        <v>43</v>
      </c>
      <c r="B9" s="9">
        <v>34</v>
      </c>
      <c r="C9" s="9" t="s">
        <v>81</v>
      </c>
      <c r="D9" s="9" t="s">
        <v>495</v>
      </c>
      <c r="E9" s="9" t="s">
        <v>95</v>
      </c>
      <c r="F9" s="9" t="s">
        <v>317</v>
      </c>
      <c r="G9" s="9" t="s">
        <v>80</v>
      </c>
      <c r="H9" s="9" t="s">
        <v>95</v>
      </c>
      <c r="I9" s="9" t="s">
        <v>495</v>
      </c>
      <c r="J9" s="9" t="s">
        <v>495</v>
      </c>
      <c r="K9" s="9" t="s">
        <v>197</v>
      </c>
      <c r="L9" s="9" t="s">
        <v>628</v>
      </c>
      <c r="M9" s="9" t="s">
        <v>203</v>
      </c>
      <c r="N9" s="9" t="s">
        <v>80</v>
      </c>
      <c r="O9" s="9" t="s">
        <v>287</v>
      </c>
      <c r="P9" s="9" t="s">
        <v>629</v>
      </c>
      <c r="Q9" s="9" t="s">
        <v>181</v>
      </c>
      <c r="R9" s="9" t="s">
        <v>172</v>
      </c>
      <c r="S9" s="9" t="s">
        <v>436</v>
      </c>
      <c r="T9" s="9" t="s">
        <v>203</v>
      </c>
      <c r="U9" s="9" t="s">
        <v>203</v>
      </c>
    </row>
    <row r="10" spans="1:24" s="2" customFormat="1" x14ac:dyDescent="0.35">
      <c r="A10" s="28" t="s">
        <v>44</v>
      </c>
      <c r="B10" s="9">
        <v>10</v>
      </c>
      <c r="C10" s="9" t="s">
        <v>496</v>
      </c>
      <c r="D10" s="9" t="s">
        <v>495</v>
      </c>
      <c r="E10" s="9" t="s">
        <v>498</v>
      </c>
      <c r="F10" s="9" t="s">
        <v>498</v>
      </c>
      <c r="G10" s="9" t="s">
        <v>496</v>
      </c>
      <c r="H10" s="9" t="s">
        <v>496</v>
      </c>
      <c r="I10" s="9" t="s">
        <v>495</v>
      </c>
      <c r="J10" s="9" t="s">
        <v>495</v>
      </c>
      <c r="K10" s="9" t="s">
        <v>501</v>
      </c>
      <c r="L10" s="9" t="s">
        <v>501</v>
      </c>
      <c r="M10" s="9" t="s">
        <v>495</v>
      </c>
      <c r="N10" s="9" t="s">
        <v>495</v>
      </c>
      <c r="O10" s="9" t="s">
        <v>498</v>
      </c>
      <c r="P10" s="9" t="s">
        <v>498</v>
      </c>
      <c r="Q10" s="9" t="s">
        <v>498</v>
      </c>
      <c r="R10" s="9" t="s">
        <v>496</v>
      </c>
      <c r="S10" s="9" t="s">
        <v>498</v>
      </c>
      <c r="T10" s="9" t="s">
        <v>495</v>
      </c>
      <c r="U10" s="9" t="s">
        <v>495</v>
      </c>
    </row>
    <row r="11" spans="1:24" x14ac:dyDescent="0.35">
      <c r="A11" s="28" t="s">
        <v>45</v>
      </c>
      <c r="B11" s="9">
        <v>8</v>
      </c>
      <c r="C11" s="9" t="s">
        <v>495</v>
      </c>
      <c r="D11" s="9" t="s">
        <v>495</v>
      </c>
      <c r="E11" s="9" t="s">
        <v>495</v>
      </c>
      <c r="F11" s="9" t="s">
        <v>495</v>
      </c>
      <c r="G11" s="9" t="s">
        <v>495</v>
      </c>
      <c r="H11" s="9" t="s">
        <v>495</v>
      </c>
      <c r="I11" s="9" t="s">
        <v>495</v>
      </c>
      <c r="J11" s="9" t="s">
        <v>495</v>
      </c>
      <c r="K11" s="9" t="s">
        <v>99</v>
      </c>
      <c r="L11" s="9" t="s">
        <v>99</v>
      </c>
      <c r="M11" s="9" t="s">
        <v>495</v>
      </c>
      <c r="N11" s="9" t="s">
        <v>495</v>
      </c>
      <c r="O11" s="9" t="s">
        <v>91</v>
      </c>
      <c r="P11" s="9" t="s">
        <v>495</v>
      </c>
      <c r="Q11" s="9" t="s">
        <v>91</v>
      </c>
      <c r="R11" s="9" t="s">
        <v>91</v>
      </c>
      <c r="S11" s="9" t="s">
        <v>91</v>
      </c>
      <c r="T11" s="9" t="s">
        <v>495</v>
      </c>
      <c r="U11" s="9" t="s">
        <v>495</v>
      </c>
    </row>
    <row r="12" spans="1:24" x14ac:dyDescent="0.35">
      <c r="A12" s="28" t="s">
        <v>46</v>
      </c>
      <c r="B12" s="9">
        <v>4</v>
      </c>
      <c r="C12" s="9" t="s">
        <v>303</v>
      </c>
      <c r="D12" s="9" t="s">
        <v>495</v>
      </c>
      <c r="E12" s="9" t="s">
        <v>495</v>
      </c>
      <c r="F12" s="9">
        <v>100</v>
      </c>
      <c r="G12" s="9" t="s">
        <v>495</v>
      </c>
      <c r="H12" s="9" t="s">
        <v>495</v>
      </c>
      <c r="I12" s="9" t="s">
        <v>495</v>
      </c>
      <c r="J12" s="9" t="s">
        <v>495</v>
      </c>
      <c r="K12" s="9" t="s">
        <v>499</v>
      </c>
      <c r="L12" s="9" t="s">
        <v>499</v>
      </c>
      <c r="M12" s="9" t="s">
        <v>495</v>
      </c>
      <c r="N12" s="9" t="s">
        <v>495</v>
      </c>
      <c r="O12" s="9" t="s">
        <v>499</v>
      </c>
      <c r="P12" s="9" t="s">
        <v>499</v>
      </c>
      <c r="Q12" s="9" t="s">
        <v>472</v>
      </c>
      <c r="R12" s="9" t="s">
        <v>495</v>
      </c>
      <c r="S12" s="9" t="s">
        <v>499</v>
      </c>
      <c r="T12" s="9" t="s">
        <v>495</v>
      </c>
      <c r="U12" s="9" t="s">
        <v>495</v>
      </c>
    </row>
    <row r="13" spans="1:24" x14ac:dyDescent="0.35">
      <c r="A13" s="28" t="s">
        <v>48</v>
      </c>
      <c r="B13" s="9">
        <v>53</v>
      </c>
      <c r="C13" s="9" t="s">
        <v>147</v>
      </c>
      <c r="D13" s="9" t="s">
        <v>495</v>
      </c>
      <c r="E13" s="9" t="s">
        <v>581</v>
      </c>
      <c r="F13" s="9" t="s">
        <v>471</v>
      </c>
      <c r="G13" s="9" t="s">
        <v>223</v>
      </c>
      <c r="H13" s="9" t="s">
        <v>223</v>
      </c>
      <c r="I13" s="9" t="s">
        <v>495</v>
      </c>
      <c r="J13" s="9" t="s">
        <v>495</v>
      </c>
      <c r="K13" s="9" t="s">
        <v>263</v>
      </c>
      <c r="L13" s="9" t="s">
        <v>219</v>
      </c>
      <c r="M13" s="9" t="s">
        <v>76</v>
      </c>
      <c r="N13" s="9" t="s">
        <v>495</v>
      </c>
      <c r="O13" s="9" t="s">
        <v>610</v>
      </c>
      <c r="P13" s="9" t="s">
        <v>122</v>
      </c>
      <c r="Q13" s="9" t="s">
        <v>108</v>
      </c>
      <c r="R13" s="9" t="s">
        <v>298</v>
      </c>
      <c r="S13" s="9" t="s">
        <v>219</v>
      </c>
      <c r="T13" s="9" t="s">
        <v>165</v>
      </c>
      <c r="U13" s="9" t="s">
        <v>581</v>
      </c>
    </row>
    <row r="14" spans="1:24" x14ac:dyDescent="0.35">
      <c r="A14" s="28" t="s">
        <v>601</v>
      </c>
      <c r="B14" s="9">
        <v>54</v>
      </c>
      <c r="C14" s="9" t="s">
        <v>220</v>
      </c>
      <c r="D14" s="9" t="s">
        <v>495</v>
      </c>
      <c r="E14" s="9" t="s">
        <v>495</v>
      </c>
      <c r="F14" s="9" t="s">
        <v>630</v>
      </c>
      <c r="G14" s="9" t="s">
        <v>495</v>
      </c>
      <c r="H14" s="9" t="s">
        <v>495</v>
      </c>
      <c r="I14" s="9" t="s">
        <v>495</v>
      </c>
      <c r="J14" s="9" t="s">
        <v>495</v>
      </c>
      <c r="K14" s="9" t="s">
        <v>495</v>
      </c>
      <c r="L14" s="9" t="s">
        <v>495</v>
      </c>
      <c r="M14" s="9" t="s">
        <v>495</v>
      </c>
      <c r="N14" s="9" t="s">
        <v>495</v>
      </c>
      <c r="O14" s="9" t="s">
        <v>631</v>
      </c>
      <c r="P14" s="9" t="s">
        <v>86</v>
      </c>
      <c r="Q14" s="9" t="s">
        <v>457</v>
      </c>
      <c r="R14" s="9" t="s">
        <v>484</v>
      </c>
      <c r="S14" s="9" t="s">
        <v>611</v>
      </c>
      <c r="T14" s="9" t="s">
        <v>495</v>
      </c>
      <c r="U14" s="9" t="s">
        <v>495</v>
      </c>
    </row>
    <row r="15" spans="1:24" s="2" customFormat="1" x14ac:dyDescent="0.35">
      <c r="A15" s="4" t="s">
        <v>490</v>
      </c>
      <c r="B15" s="10">
        <v>378</v>
      </c>
      <c r="C15" s="10" t="s">
        <v>379</v>
      </c>
      <c r="D15" s="10" t="s">
        <v>119</v>
      </c>
      <c r="E15" s="10" t="s">
        <v>409</v>
      </c>
      <c r="F15" s="10" t="s">
        <v>348</v>
      </c>
      <c r="G15" s="10" t="s">
        <v>340</v>
      </c>
      <c r="H15" s="10" t="s">
        <v>362</v>
      </c>
      <c r="I15" s="10" t="s">
        <v>495</v>
      </c>
      <c r="J15" s="10" t="s">
        <v>212</v>
      </c>
      <c r="K15" s="10" t="s">
        <v>615</v>
      </c>
      <c r="L15" s="10" t="s">
        <v>339</v>
      </c>
      <c r="M15" s="10" t="s">
        <v>342</v>
      </c>
      <c r="N15" s="10" t="s">
        <v>119</v>
      </c>
      <c r="O15" s="10" t="s">
        <v>339</v>
      </c>
      <c r="P15" s="10" t="s">
        <v>252</v>
      </c>
      <c r="Q15" s="10" t="s">
        <v>632</v>
      </c>
      <c r="R15" s="10" t="s">
        <v>437</v>
      </c>
      <c r="S15" s="10" t="s">
        <v>149</v>
      </c>
      <c r="T15" s="10" t="s">
        <v>111</v>
      </c>
      <c r="U15" s="10" t="s">
        <v>217</v>
      </c>
    </row>
    <row r="16" spans="1:24" s="2" customFormat="1" x14ac:dyDescent="0.35">
      <c r="A16" s="4" t="s">
        <v>485</v>
      </c>
      <c r="B16" s="10">
        <v>10</v>
      </c>
      <c r="C16" s="10" t="s">
        <v>496</v>
      </c>
      <c r="D16" s="10" t="s">
        <v>495</v>
      </c>
      <c r="E16" s="10" t="s">
        <v>496</v>
      </c>
      <c r="F16" s="10" t="s">
        <v>499</v>
      </c>
      <c r="G16" s="10" t="s">
        <v>496</v>
      </c>
      <c r="H16" s="10" t="s">
        <v>496</v>
      </c>
      <c r="I16" s="10" t="s">
        <v>495</v>
      </c>
      <c r="J16" s="10" t="s">
        <v>495</v>
      </c>
      <c r="K16" s="10" t="s">
        <v>499</v>
      </c>
      <c r="L16" s="10" t="s">
        <v>499</v>
      </c>
      <c r="M16" s="10" t="s">
        <v>495</v>
      </c>
      <c r="N16" s="10" t="s">
        <v>495</v>
      </c>
      <c r="O16" s="10" t="s">
        <v>498</v>
      </c>
      <c r="P16" s="10" t="s">
        <v>498</v>
      </c>
      <c r="Q16" s="10" t="s">
        <v>497</v>
      </c>
      <c r="R16" s="10" t="s">
        <v>496</v>
      </c>
      <c r="S16" s="10" t="s">
        <v>504</v>
      </c>
      <c r="T16" s="10" t="s">
        <v>496</v>
      </c>
      <c r="U16" s="10" t="s">
        <v>495</v>
      </c>
    </row>
  </sheetData>
  <autoFilter ref="A1:U1" xr:uid="{00000000-0001-0000-0600-000000000000}"/>
  <pageMargins left="0.7" right="0.7" top="0.75" bottom="0.75" header="0.3" footer="0.3"/>
  <pageSetup paperSize="9" scale="4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U21"/>
  <sheetViews>
    <sheetView workbookViewId="0">
      <selection activeCell="G6" sqref="G6"/>
    </sheetView>
  </sheetViews>
  <sheetFormatPr defaultColWidth="9.1796875" defaultRowHeight="14.5" x14ac:dyDescent="0.35"/>
  <cols>
    <col min="1" max="1" width="13.54296875" bestFit="1" customWidth="1"/>
    <col min="3" max="3" width="12.81640625" bestFit="1" customWidth="1"/>
    <col min="4" max="4" width="13.26953125" bestFit="1" customWidth="1"/>
    <col min="5" max="5" width="12.26953125" bestFit="1" customWidth="1"/>
    <col min="6" max="6" width="13.26953125" bestFit="1" customWidth="1"/>
    <col min="7" max="7" width="12.26953125" bestFit="1" customWidth="1"/>
    <col min="8" max="8" width="12.453125" bestFit="1" customWidth="1"/>
    <col min="9" max="9" width="13.7265625" bestFit="1" customWidth="1"/>
    <col min="10" max="11" width="12.54296875" bestFit="1" customWidth="1"/>
    <col min="12" max="12" width="11.81640625" bestFit="1" customWidth="1"/>
    <col min="13" max="13" width="13.1796875" bestFit="1" customWidth="1"/>
    <col min="14" max="14" width="12.453125" bestFit="1" customWidth="1"/>
    <col min="15" max="16" width="13" bestFit="1" customWidth="1"/>
    <col min="17" max="17" width="12" bestFit="1" customWidth="1"/>
    <col min="18" max="18" width="11.1796875" bestFit="1" customWidth="1"/>
    <col min="19" max="19" width="13.26953125" bestFit="1" customWidth="1"/>
    <col min="20" max="20" width="45.7265625" bestFit="1" customWidth="1"/>
    <col min="21" max="21" width="43.54296875" bestFit="1" customWidth="1"/>
  </cols>
  <sheetData>
    <row r="1" spans="1:21" s="1" customFormat="1" x14ac:dyDescent="0.3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23</v>
      </c>
      <c r="U1" s="1" t="s">
        <v>135</v>
      </c>
    </row>
    <row r="2" spans="1:21" x14ac:dyDescent="0.35">
      <c r="A2" s="28" t="s">
        <v>32</v>
      </c>
      <c r="B2" s="9">
        <v>4</v>
      </c>
      <c r="C2" s="9" t="s">
        <v>495</v>
      </c>
      <c r="D2" s="9" t="s">
        <v>495</v>
      </c>
      <c r="E2" s="9" t="s">
        <v>495</v>
      </c>
      <c r="F2" s="9" t="s">
        <v>303</v>
      </c>
      <c r="G2" s="9" t="s">
        <v>495</v>
      </c>
      <c r="H2" s="9" t="s">
        <v>495</v>
      </c>
      <c r="I2" s="9" t="s">
        <v>495</v>
      </c>
      <c r="J2" s="9" t="s">
        <v>303</v>
      </c>
      <c r="K2" s="9" t="s">
        <v>495</v>
      </c>
      <c r="L2" s="9" t="s">
        <v>495</v>
      </c>
      <c r="M2" s="9" t="s">
        <v>303</v>
      </c>
      <c r="N2" s="9" t="s">
        <v>303</v>
      </c>
      <c r="O2" s="9" t="s">
        <v>495</v>
      </c>
      <c r="P2" s="9" t="s">
        <v>495</v>
      </c>
      <c r="Q2" s="9" t="s">
        <v>472</v>
      </c>
      <c r="R2" s="9" t="s">
        <v>303</v>
      </c>
      <c r="S2" s="9" t="s">
        <v>495</v>
      </c>
      <c r="T2" s="9" t="s">
        <v>495</v>
      </c>
      <c r="U2" s="9" t="s">
        <v>495</v>
      </c>
    </row>
    <row r="3" spans="1:21" x14ac:dyDescent="0.35">
      <c r="A3" s="28" t="s">
        <v>36</v>
      </c>
      <c r="B3" s="9">
        <v>3</v>
      </c>
      <c r="C3" s="9" t="s">
        <v>495</v>
      </c>
      <c r="D3" s="9" t="s">
        <v>495</v>
      </c>
      <c r="E3" s="9" t="s">
        <v>495</v>
      </c>
      <c r="F3" s="9" t="s">
        <v>495</v>
      </c>
      <c r="G3" s="9" t="s">
        <v>495</v>
      </c>
      <c r="H3" s="9" t="s">
        <v>495</v>
      </c>
      <c r="I3" s="9" t="s">
        <v>495</v>
      </c>
      <c r="J3" s="9" t="s">
        <v>495</v>
      </c>
      <c r="K3" s="9" t="s">
        <v>495</v>
      </c>
      <c r="L3" s="9" t="s">
        <v>495</v>
      </c>
      <c r="M3" s="9" t="s">
        <v>495</v>
      </c>
      <c r="N3" s="9" t="s">
        <v>495</v>
      </c>
      <c r="O3" s="9" t="s">
        <v>495</v>
      </c>
      <c r="P3" s="9" t="s">
        <v>495</v>
      </c>
      <c r="Q3" s="9" t="s">
        <v>72</v>
      </c>
      <c r="R3" s="9" t="s">
        <v>73</v>
      </c>
      <c r="S3" s="9" t="s">
        <v>495</v>
      </c>
      <c r="T3" s="9" t="s">
        <v>495</v>
      </c>
      <c r="U3" s="9" t="s">
        <v>495</v>
      </c>
    </row>
    <row r="4" spans="1:21" x14ac:dyDescent="0.35">
      <c r="A4" s="28" t="s">
        <v>42</v>
      </c>
      <c r="B4" s="9">
        <v>37</v>
      </c>
      <c r="C4" s="9" t="s">
        <v>633</v>
      </c>
      <c r="D4" s="9" t="s">
        <v>292</v>
      </c>
      <c r="E4" s="9" t="s">
        <v>123</v>
      </c>
      <c r="F4" s="9" t="s">
        <v>169</v>
      </c>
      <c r="G4" s="9" t="s">
        <v>423</v>
      </c>
      <c r="H4" s="9" t="s">
        <v>292</v>
      </c>
      <c r="I4" s="9" t="s">
        <v>495</v>
      </c>
      <c r="J4" s="9" t="s">
        <v>633</v>
      </c>
      <c r="K4" s="9" t="s">
        <v>450</v>
      </c>
      <c r="L4" s="9" t="s">
        <v>627</v>
      </c>
      <c r="M4" s="9" t="s">
        <v>495</v>
      </c>
      <c r="N4" s="9" t="s">
        <v>495</v>
      </c>
      <c r="O4" s="9" t="s">
        <v>333</v>
      </c>
      <c r="P4" s="9" t="s">
        <v>627</v>
      </c>
      <c r="Q4" s="9" t="s">
        <v>634</v>
      </c>
      <c r="R4" s="9" t="s">
        <v>343</v>
      </c>
      <c r="S4" s="9" t="s">
        <v>635</v>
      </c>
      <c r="T4" s="9" t="s">
        <v>292</v>
      </c>
      <c r="U4" s="9" t="s">
        <v>292</v>
      </c>
    </row>
    <row r="5" spans="1:21" s="2" customFormat="1" x14ac:dyDescent="0.35">
      <c r="A5" s="28" t="s">
        <v>45</v>
      </c>
      <c r="B5" s="9">
        <v>6</v>
      </c>
      <c r="C5" s="9" t="s">
        <v>88</v>
      </c>
      <c r="D5" s="9" t="s">
        <v>495</v>
      </c>
      <c r="E5" s="9" t="s">
        <v>499</v>
      </c>
      <c r="F5" s="9" t="s">
        <v>72</v>
      </c>
      <c r="G5" s="9" t="s">
        <v>495</v>
      </c>
      <c r="H5" s="9" t="s">
        <v>495</v>
      </c>
      <c r="I5" s="9" t="s">
        <v>495</v>
      </c>
      <c r="J5" s="9" t="s">
        <v>495</v>
      </c>
      <c r="K5" s="9">
        <v>100</v>
      </c>
      <c r="L5" s="9" t="s">
        <v>479</v>
      </c>
      <c r="M5" s="9" t="s">
        <v>495</v>
      </c>
      <c r="N5" s="9" t="s">
        <v>495</v>
      </c>
      <c r="O5" s="9" t="s">
        <v>499</v>
      </c>
      <c r="P5" s="9" t="s">
        <v>499</v>
      </c>
      <c r="Q5" s="9" t="s">
        <v>499</v>
      </c>
      <c r="R5" s="9" t="s">
        <v>495</v>
      </c>
      <c r="S5" s="9" t="s">
        <v>499</v>
      </c>
      <c r="T5" s="9" t="s">
        <v>495</v>
      </c>
      <c r="U5" s="9" t="s">
        <v>495</v>
      </c>
    </row>
    <row r="6" spans="1:21" s="2" customFormat="1" x14ac:dyDescent="0.35">
      <c r="A6" s="4" t="s">
        <v>637</v>
      </c>
      <c r="B6" s="10">
        <v>50</v>
      </c>
      <c r="C6" s="10" t="s">
        <v>496</v>
      </c>
      <c r="D6" s="10" t="s">
        <v>213</v>
      </c>
      <c r="E6" s="10" t="s">
        <v>402</v>
      </c>
      <c r="F6" s="10" t="s">
        <v>413</v>
      </c>
      <c r="G6" s="10" t="s">
        <v>217</v>
      </c>
      <c r="H6" s="10" t="s">
        <v>213</v>
      </c>
      <c r="I6" s="10" t="s">
        <v>495</v>
      </c>
      <c r="J6" s="10" t="s">
        <v>496</v>
      </c>
      <c r="K6" s="10" t="s">
        <v>632</v>
      </c>
      <c r="L6" s="10" t="s">
        <v>497</v>
      </c>
      <c r="M6" s="10" t="s">
        <v>213</v>
      </c>
      <c r="N6" s="10" t="s">
        <v>213</v>
      </c>
      <c r="O6" s="10" t="s">
        <v>500</v>
      </c>
      <c r="P6" s="10" t="s">
        <v>149</v>
      </c>
      <c r="Q6" s="10" t="s">
        <v>622</v>
      </c>
      <c r="R6" s="10" t="s">
        <v>480</v>
      </c>
      <c r="S6" s="10" t="s">
        <v>636</v>
      </c>
      <c r="T6" s="10" t="s">
        <v>213</v>
      </c>
      <c r="U6" s="10" t="s">
        <v>213</v>
      </c>
    </row>
    <row r="7" spans="1:21" s="2" customFormat="1" x14ac:dyDescent="0.35">
      <c r="A7" s="4" t="s">
        <v>485</v>
      </c>
      <c r="B7" s="10">
        <v>5</v>
      </c>
      <c r="C7" s="10" t="s">
        <v>496</v>
      </c>
      <c r="D7" s="10" t="s">
        <v>495</v>
      </c>
      <c r="E7" s="10" t="s">
        <v>504</v>
      </c>
      <c r="F7" s="10" t="s">
        <v>504</v>
      </c>
      <c r="G7" s="10" t="s">
        <v>495</v>
      </c>
      <c r="H7" s="10" t="s">
        <v>495</v>
      </c>
      <c r="I7" s="10" t="s">
        <v>495</v>
      </c>
      <c r="J7" s="10" t="s">
        <v>496</v>
      </c>
      <c r="K7" s="10" t="s">
        <v>500</v>
      </c>
      <c r="L7" s="10" t="s">
        <v>499</v>
      </c>
      <c r="M7" s="10" t="s">
        <v>495</v>
      </c>
      <c r="N7" s="10" t="s">
        <v>495</v>
      </c>
      <c r="O7" s="10" t="s">
        <v>504</v>
      </c>
      <c r="P7" s="10" t="s">
        <v>504</v>
      </c>
      <c r="Q7" s="10" t="s">
        <v>500</v>
      </c>
      <c r="R7" s="10" t="s">
        <v>504</v>
      </c>
      <c r="S7" s="10" t="s">
        <v>504</v>
      </c>
      <c r="T7" s="10" t="s">
        <v>495</v>
      </c>
      <c r="U7" s="10" t="s">
        <v>495</v>
      </c>
    </row>
    <row r="17" spans="3:21" x14ac:dyDescent="0.35"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</row>
    <row r="18" spans="3:21" x14ac:dyDescent="0.35"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</row>
    <row r="19" spans="3:21" x14ac:dyDescent="0.35"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</row>
    <row r="20" spans="3:21" x14ac:dyDescent="0.35"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</row>
    <row r="21" spans="3:21" x14ac:dyDescent="0.35"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</row>
  </sheetData>
  <autoFilter ref="A1:U1" xr:uid="{00000000-0001-0000-0700-000000000000}"/>
  <pageMargins left="0.7" right="0.7" top="0.75" bottom="0.75" header="0.3" footer="0.3"/>
  <pageSetup paperSize="9" scale="4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0E1F79EBFA054AAC36B0838FF4901B" ma:contentTypeVersion="14" ma:contentTypeDescription="Create a new document." ma:contentTypeScope="" ma:versionID="fe4dbed6b3734daed75a6b4ac4c1b74f">
  <xsd:schema xmlns:xsd="http://www.w3.org/2001/XMLSchema" xmlns:xs="http://www.w3.org/2001/XMLSchema" xmlns:p="http://schemas.microsoft.com/office/2006/metadata/properties" xmlns:ns2="d2ac282c-ca65-4dd4-8d74-97e97485d4fc" xmlns:ns3="0f0d7073-3e63-4ef0-a2a9-471b8e67a6a4" targetNamespace="http://schemas.microsoft.com/office/2006/metadata/properties" ma:root="true" ma:fieldsID="19b9c8039eeb9e51c0581314f6313754" ns2:_="" ns3:_="">
    <xsd:import namespace="d2ac282c-ca65-4dd4-8d74-97e97485d4fc"/>
    <xsd:import namespace="0f0d7073-3e63-4ef0-a2a9-471b8e67a6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ac282c-ca65-4dd4-8d74-97e97485d4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8d3d8e85-2482-46d5-b3d8-06dc7993f3c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0d7073-3e63-4ef0-a2a9-471b8e67a6a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986a81e9-713d-442d-8399-a36ebf96fde0}" ma:internalName="TaxCatchAll" ma:showField="CatchAllData" ma:web="0f0d7073-3e63-4ef0-a2a9-471b8e67a6a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2ac282c-ca65-4dd4-8d74-97e97485d4fc">
      <Terms xmlns="http://schemas.microsoft.com/office/infopath/2007/PartnerControls"/>
    </lcf76f155ced4ddcb4097134ff3c332f>
    <TaxCatchAll xmlns="0f0d7073-3e63-4ef0-a2a9-471b8e67a6a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391FC7-D91B-4FC5-9ADE-3B0377ACD9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ac282c-ca65-4dd4-8d74-97e97485d4fc"/>
    <ds:schemaRef ds:uri="0f0d7073-3e63-4ef0-a2a9-471b8e67a6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EECFE9D-9624-4B6C-99CC-64C88507FEB7}">
  <ds:schemaRefs>
    <ds:schemaRef ds:uri="http://schemas.microsoft.com/office/2006/documentManagement/types"/>
    <ds:schemaRef ds:uri="http://purl.org/dc/dcmitype/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0f0d7073-3e63-4ef0-a2a9-471b8e67a6a4"/>
    <ds:schemaRef ds:uri="d2ac282c-ca65-4dd4-8d74-97e97485d4fc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75E4B4C-3771-44A6-A9F6-ADDAC067612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406a174b-e315-48bd-aa0a-cdaddc44250b}" enabled="0" method="" siteId="{406a174b-e315-48bd-aa0a-cdaddc44250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Table of Contents</vt:lpstr>
      <vt:lpstr>T. 1. Pigs E. coli</vt:lpstr>
      <vt:lpstr>T. 2. Calves E. coli</vt:lpstr>
      <vt:lpstr>T. 3. Broilers E. coli</vt:lpstr>
      <vt:lpstr>T. 4. Turkey E. coli</vt:lpstr>
      <vt:lpstr>T. 5. Pig meat BCP E. coli</vt:lpstr>
      <vt:lpstr>T. 6. Bovine meat BCP E. coli</vt:lpstr>
      <vt:lpstr>T. 7. Broiler meat BCP E. coli</vt:lpstr>
      <vt:lpstr>T. 8. Turkey meat BCP E. coli</vt:lpstr>
      <vt:lpstr>Index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GARCIA FIERRO Raquel</cp:lastModifiedBy>
  <cp:revision/>
  <cp:lastPrinted>2024-09-06T06:48:02Z</cp:lastPrinted>
  <dcterms:created xsi:type="dcterms:W3CDTF">2024-05-29T10:26:44Z</dcterms:created>
  <dcterms:modified xsi:type="dcterms:W3CDTF">2026-02-16T16:24:04Z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0x010100AB0E1F79EBFA054AAC36B0838FF4901B</vt:lpwstr>
  </property>
  <property fmtid="{D5CDD505-2E9C-101B-9397-08002B2CF9AE}" pid="3" name="MediaServiceImageTags">
    <vt:lpwstr/>
  </property>
</Properties>
</file>