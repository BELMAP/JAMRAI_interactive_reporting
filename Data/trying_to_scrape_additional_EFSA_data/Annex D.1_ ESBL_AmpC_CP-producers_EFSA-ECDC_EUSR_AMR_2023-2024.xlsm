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fsa815.sharepoint.com/sites/EUSummaryReportonAMR201/Shared Documents/WP1. EUSR on AMR/04_Deliverables WP1_2024_EUSR on AMR_calendar year 2025/Deliv. 8.1. Post-consultation version of the report/Annexes for Zenodo/"/>
    </mc:Choice>
  </mc:AlternateContent>
  <xr:revisionPtr revIDLastSave="8104" documentId="11_95C9D37C2685CCD84E2002493A1745A7F589E5F3" xr6:coauthVersionLast="47" xr6:coauthVersionMax="47" xr10:uidLastSave="{687381A3-EA71-4E00-B07E-1D5001E9A173}"/>
  <bookViews>
    <workbookView xWindow="-28920" yWindow="-120" windowWidth="29040" windowHeight="16440" xr2:uid="{00000000-000D-0000-FFFF-FFFF00000000}"/>
  </bookViews>
  <sheets>
    <sheet name="Table of Contents" sheetId="1" r:id="rId1"/>
    <sheet name="Indicator E. coli broilers" sheetId="21" r:id="rId2"/>
    <sheet name="Indicator E. coli turkeys" sheetId="22" r:id="rId3"/>
    <sheet name="Indicator E. coli pigs" sheetId="26" r:id="rId4"/>
    <sheet name="Indicator E. coli calves" sheetId="27" r:id="rId5"/>
    <sheet name="Prevalence broilers" sheetId="4" r:id="rId6"/>
    <sheet name="Prevalence turkeys" sheetId="8" r:id="rId7"/>
    <sheet name="Prevalence pigs" sheetId="12" r:id="rId8"/>
    <sheet name="Prevalence calves" sheetId="16" r:id="rId9"/>
    <sheet name="Prevalence broiler meat" sheetId="2" r:id="rId10"/>
    <sheet name="Prevalence turkey meat" sheetId="6" r:id="rId11"/>
    <sheet name="Prevalence pig meat" sheetId="10" r:id="rId12"/>
    <sheet name="Prevalence bovine meat" sheetId="14" r:id="rId13"/>
    <sheet name="Occurrence broilers" sheetId="5" r:id="rId14"/>
    <sheet name="Occurrence turkeys" sheetId="9" r:id="rId15"/>
    <sheet name="Occurrence pigs" sheetId="13" r:id="rId16"/>
    <sheet name="Occurrence calves" sheetId="17" r:id="rId17"/>
    <sheet name="Occurrence broiler meat" sheetId="3" r:id="rId18"/>
    <sheet name="Occurrence turkey meat" sheetId="7" r:id="rId19"/>
    <sheet name="Occurrence pig meat" sheetId="11" r:id="rId20"/>
    <sheet name="Occurrence bovine meat" sheetId="15" r:id="rId21"/>
    <sheet name="Samples investigated CP-prod" sheetId="28" r:id="rId22"/>
    <sheet name="Occurrence retail &amp; import meat" sheetId="29" r:id="rId23"/>
  </sheets>
  <definedNames>
    <definedName name="_xlnm._FilterDatabase" localSheetId="13" hidden="1">'Occurrence broilers'!$A$1:$P$33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15" l="1"/>
  <c r="J32" i="15"/>
  <c r="R32" i="15"/>
  <c r="R31" i="15"/>
  <c r="R30" i="15"/>
  <c r="R27" i="15"/>
  <c r="R26" i="15"/>
  <c r="R25" i="15"/>
  <c r="R24" i="15"/>
  <c r="R23" i="15"/>
  <c r="R22" i="15"/>
  <c r="R20" i="15"/>
  <c r="R19" i="15"/>
  <c r="R18" i="15"/>
  <c r="R17" i="15"/>
  <c r="R15" i="15"/>
  <c r="R14" i="15"/>
  <c r="R13" i="15"/>
  <c r="R11" i="15"/>
  <c r="R9" i="15"/>
  <c r="R8" i="15"/>
  <c r="R6" i="15"/>
  <c r="R5" i="15"/>
  <c r="R30" i="11"/>
  <c r="R26" i="11"/>
  <c r="R25" i="11"/>
  <c r="R24" i="11"/>
  <c r="R23" i="11"/>
  <c r="R22" i="11"/>
  <c r="R21" i="11"/>
  <c r="R19" i="11"/>
  <c r="R18" i="11"/>
  <c r="R17" i="11"/>
  <c r="R16" i="11"/>
  <c r="R13" i="11"/>
  <c r="R12" i="11"/>
  <c r="R10" i="11"/>
  <c r="R9" i="11"/>
  <c r="R8" i="11"/>
  <c r="R6" i="11"/>
  <c r="R5" i="11"/>
  <c r="R30" i="7"/>
  <c r="R27" i="7"/>
  <c r="R26" i="7"/>
  <c r="R25" i="7"/>
  <c r="R24" i="7"/>
  <c r="R23" i="7"/>
  <c r="R22" i="7"/>
  <c r="R21" i="7"/>
  <c r="R19" i="7"/>
  <c r="R18" i="7"/>
  <c r="R17" i="7"/>
  <c r="R16" i="7"/>
  <c r="R14" i="7"/>
  <c r="R13" i="7"/>
  <c r="R12" i="7"/>
  <c r="R10" i="7"/>
  <c r="R9" i="7"/>
  <c r="R8" i="7"/>
  <c r="R6" i="7"/>
  <c r="R5" i="7"/>
  <c r="R33" i="3"/>
  <c r="R28" i="3"/>
  <c r="R27" i="3"/>
  <c r="R26" i="3"/>
  <c r="R25" i="3"/>
  <c r="R24" i="3"/>
  <c r="R23" i="3"/>
  <c r="R21" i="3"/>
  <c r="R20" i="3"/>
  <c r="R19" i="3"/>
  <c r="R18" i="3"/>
  <c r="R16" i="3"/>
  <c r="R15" i="3"/>
  <c r="R14" i="3"/>
  <c r="R12" i="3"/>
  <c r="R10" i="3"/>
  <c r="R9" i="3"/>
  <c r="R7" i="3"/>
  <c r="R6" i="3"/>
  <c r="R5" i="3"/>
  <c r="F3" i="3"/>
  <c r="R15" i="17"/>
  <c r="R13" i="17"/>
  <c r="R12" i="17"/>
  <c r="R11" i="17"/>
  <c r="R7" i="17"/>
  <c r="R6" i="17"/>
  <c r="R5" i="17"/>
  <c r="H36" i="13"/>
  <c r="H35" i="13"/>
  <c r="J36" i="13"/>
  <c r="J35" i="13"/>
  <c r="J31" i="13"/>
  <c r="H31" i="13"/>
  <c r="R30" i="13"/>
  <c r="R28" i="13"/>
  <c r="R27" i="13"/>
  <c r="R26" i="13"/>
  <c r="R25" i="13"/>
  <c r="R24" i="13"/>
  <c r="R23" i="13"/>
  <c r="R21" i="13"/>
  <c r="R20" i="13"/>
  <c r="R19" i="13"/>
  <c r="R18" i="13"/>
  <c r="R16" i="13"/>
  <c r="R15" i="13"/>
  <c r="R14" i="13"/>
  <c r="R12" i="13"/>
  <c r="R10" i="13"/>
  <c r="R9" i="13"/>
  <c r="R7" i="13"/>
  <c r="R6" i="13"/>
  <c r="R5" i="13"/>
  <c r="R13" i="9"/>
  <c r="R12" i="9"/>
  <c r="R11" i="9"/>
  <c r="R10" i="9"/>
  <c r="R8" i="9"/>
  <c r="R7" i="9"/>
  <c r="R5" i="9"/>
  <c r="R4" i="9"/>
  <c r="R33" i="5"/>
  <c r="R30" i="5"/>
  <c r="R28" i="5"/>
  <c r="R27" i="5"/>
  <c r="R26" i="5"/>
  <c r="R25" i="5"/>
  <c r="R24" i="5"/>
  <c r="R23" i="5"/>
  <c r="R21" i="5"/>
  <c r="R20" i="5"/>
  <c r="R19" i="5"/>
  <c r="R18" i="5"/>
  <c r="R16" i="5"/>
  <c r="R15" i="5"/>
  <c r="R14" i="5"/>
  <c r="R12" i="5"/>
  <c r="R10" i="5"/>
  <c r="R9" i="5"/>
  <c r="R7" i="5"/>
  <c r="R6" i="5"/>
  <c r="R5" i="5"/>
  <c r="H5" i="5"/>
  <c r="G31" i="5"/>
  <c r="K16" i="27"/>
  <c r="K12" i="27"/>
  <c r="K11" i="27"/>
  <c r="K7" i="27"/>
  <c r="K6" i="27"/>
  <c r="K3" i="27"/>
  <c r="I16" i="27"/>
  <c r="I12" i="27"/>
  <c r="I11" i="27"/>
  <c r="I7" i="27"/>
  <c r="I6" i="27"/>
  <c r="I3" i="27"/>
  <c r="G3" i="27"/>
  <c r="K33" i="26"/>
  <c r="K28" i="26"/>
  <c r="K27" i="26"/>
  <c r="K25" i="26"/>
  <c r="K24" i="26"/>
  <c r="K23" i="26"/>
  <c r="K21" i="26"/>
  <c r="K18" i="26"/>
  <c r="K16" i="26"/>
  <c r="K15" i="26"/>
  <c r="K14" i="26"/>
  <c r="K11" i="26"/>
  <c r="K10" i="26"/>
  <c r="K9" i="26"/>
  <c r="K8" i="26"/>
  <c r="K7" i="26"/>
  <c r="K6" i="26"/>
  <c r="I33" i="26"/>
  <c r="I28" i="26"/>
  <c r="I27" i="26"/>
  <c r="I25" i="26"/>
  <c r="I24" i="26"/>
  <c r="I23" i="26"/>
  <c r="I21" i="26"/>
  <c r="I18" i="26"/>
  <c r="I16" i="26"/>
  <c r="I15" i="26"/>
  <c r="I14" i="26"/>
  <c r="I11" i="26"/>
  <c r="I10" i="26"/>
  <c r="I9" i="26"/>
  <c r="I8" i="26"/>
  <c r="I7" i="26"/>
  <c r="I6" i="26"/>
  <c r="K3" i="26"/>
  <c r="I3" i="26"/>
  <c r="K11" i="22"/>
  <c r="K12" i="22"/>
  <c r="K13" i="22"/>
  <c r="K10" i="22"/>
  <c r="K3" i="22"/>
  <c r="I11" i="22"/>
  <c r="I12" i="22"/>
  <c r="I13" i="22"/>
  <c r="I10" i="22"/>
  <c r="I3" i="22"/>
  <c r="K25" i="21"/>
  <c r="K24" i="21"/>
  <c r="K23" i="21"/>
  <c r="K19" i="21"/>
  <c r="K20" i="21"/>
  <c r="K21" i="21"/>
  <c r="K18" i="21"/>
  <c r="K14" i="21"/>
  <c r="K12" i="21"/>
  <c r="K8" i="21"/>
  <c r="K9" i="21"/>
  <c r="K10" i="21"/>
  <c r="K7" i="21"/>
  <c r="K4" i="21"/>
  <c r="K3" i="21"/>
  <c r="I25" i="21"/>
  <c r="I24" i="21"/>
  <c r="I23" i="21"/>
  <c r="I19" i="21"/>
  <c r="I20" i="21"/>
  <c r="I21" i="21"/>
  <c r="I18" i="21"/>
  <c r="I14" i="21"/>
  <c r="I12" i="21"/>
  <c r="I8" i="21"/>
  <c r="I9" i="21"/>
  <c r="I10" i="21"/>
  <c r="I7" i="21"/>
  <c r="I4" i="21"/>
  <c r="I3" i="21"/>
  <c r="J31" i="21"/>
  <c r="H31" i="21"/>
  <c r="H37" i="21" s="1"/>
  <c r="L31" i="21"/>
  <c r="J16" i="17"/>
  <c r="H15" i="17"/>
  <c r="E22" i="21"/>
  <c r="E25" i="21"/>
  <c r="E3" i="21"/>
  <c r="E9" i="22"/>
  <c r="H15" i="22"/>
  <c r="G7" i="29"/>
  <c r="M7" i="29"/>
  <c r="P7" i="29"/>
  <c r="Q29" i="15"/>
  <c r="Q28" i="11"/>
  <c r="Q28" i="7"/>
  <c r="Q31" i="7"/>
  <c r="Q34" i="3"/>
  <c r="Q31" i="3"/>
  <c r="Q34" i="5"/>
  <c r="Q31" i="5"/>
  <c r="Q14" i="9"/>
  <c r="Q15" i="9" s="1"/>
  <c r="J10" i="13"/>
  <c r="Q31" i="13"/>
  <c r="Q36" i="13" s="1"/>
  <c r="Q14" i="17"/>
  <c r="Q17" i="17"/>
  <c r="Q35" i="5" l="1"/>
  <c r="Q32" i="11"/>
  <c r="Q32" i="7"/>
  <c r="Q35" i="3"/>
  <c r="G14" i="17" l="1"/>
  <c r="U34" i="10"/>
  <c r="R34" i="10"/>
  <c r="O34" i="10"/>
  <c r="L34" i="10"/>
  <c r="I34" i="10"/>
  <c r="F34" i="10"/>
  <c r="C34" i="10"/>
  <c r="B34" i="10"/>
  <c r="L30" i="6"/>
  <c r="U34" i="14" l="1"/>
  <c r="U35" i="14" s="1"/>
  <c r="R34" i="14"/>
  <c r="R35" i="14" s="1"/>
  <c r="O34" i="14"/>
  <c r="O35" i="14" s="1"/>
  <c r="L34" i="14"/>
  <c r="I34" i="14"/>
  <c r="F34" i="14"/>
  <c r="C34" i="14"/>
  <c r="U31" i="14"/>
  <c r="R31" i="14"/>
  <c r="O31" i="14"/>
  <c r="L31" i="14"/>
  <c r="I31" i="14"/>
  <c r="F31" i="14"/>
  <c r="C31" i="14"/>
  <c r="B34" i="14"/>
  <c r="B35" i="14" s="1"/>
  <c r="B31" i="14"/>
  <c r="U31" i="10"/>
  <c r="U35" i="10" s="1"/>
  <c r="R31" i="10"/>
  <c r="R35" i="10" s="1"/>
  <c r="O31" i="10"/>
  <c r="O35" i="10" s="1"/>
  <c r="L31" i="10"/>
  <c r="L35" i="10" s="1"/>
  <c r="I31" i="10"/>
  <c r="I35" i="10" s="1"/>
  <c r="F31" i="10"/>
  <c r="F35" i="10" s="1"/>
  <c r="C31" i="10"/>
  <c r="C35" i="10" s="1"/>
  <c r="U33" i="6"/>
  <c r="U34" i="6" s="1"/>
  <c r="R33" i="6"/>
  <c r="R34" i="6" s="1"/>
  <c r="O33" i="6"/>
  <c r="O34" i="6" s="1"/>
  <c r="L33" i="6"/>
  <c r="L34" i="6" s="1"/>
  <c r="I33" i="6"/>
  <c r="F33" i="6"/>
  <c r="C33" i="6"/>
  <c r="U30" i="6"/>
  <c r="R30" i="6"/>
  <c r="O30" i="6"/>
  <c r="I30" i="6"/>
  <c r="F30" i="6"/>
  <c r="F34" i="6" s="1"/>
  <c r="C30" i="6"/>
  <c r="C34" i="6" s="1"/>
  <c r="U36" i="2"/>
  <c r="R36" i="2"/>
  <c r="R37" i="2" s="1"/>
  <c r="O37" i="2"/>
  <c r="O36" i="2"/>
  <c r="L36" i="2"/>
  <c r="L37" i="2" s="1"/>
  <c r="I36" i="2"/>
  <c r="F36" i="2"/>
  <c r="F37" i="2" s="1"/>
  <c r="C36" i="2"/>
  <c r="C37" i="2" s="1"/>
  <c r="U31" i="2"/>
  <c r="U37" i="2" s="1"/>
  <c r="R31" i="2"/>
  <c r="O31" i="2"/>
  <c r="L31" i="2"/>
  <c r="I31" i="2"/>
  <c r="F31" i="2"/>
  <c r="C31" i="2"/>
  <c r="L15" i="16"/>
  <c r="U17" i="16"/>
  <c r="R17" i="16"/>
  <c r="O17" i="16"/>
  <c r="L17" i="16"/>
  <c r="I17" i="16"/>
  <c r="F17" i="16"/>
  <c r="C17" i="16"/>
  <c r="B17" i="16"/>
  <c r="U15" i="16"/>
  <c r="R15" i="16"/>
  <c r="O15" i="16"/>
  <c r="F15" i="16"/>
  <c r="C15" i="16"/>
  <c r="U35" i="12"/>
  <c r="R35" i="12"/>
  <c r="R36" i="12" s="1"/>
  <c r="O36" i="12"/>
  <c r="O35" i="12"/>
  <c r="L35" i="12"/>
  <c r="I35" i="12"/>
  <c r="F35" i="12"/>
  <c r="F36" i="12" s="1"/>
  <c r="C35" i="12"/>
  <c r="C36" i="12" s="1"/>
  <c r="B35" i="12"/>
  <c r="B36" i="12" s="1"/>
  <c r="U31" i="12"/>
  <c r="U36" i="12" s="1"/>
  <c r="R31" i="12"/>
  <c r="O31" i="12"/>
  <c r="L31" i="12"/>
  <c r="I31" i="12"/>
  <c r="F31" i="12"/>
  <c r="C31" i="12"/>
  <c r="B31" i="12"/>
  <c r="U15" i="8"/>
  <c r="U16" i="8" s="1"/>
  <c r="R15" i="8"/>
  <c r="R16" i="8" s="1"/>
  <c r="O15" i="8"/>
  <c r="O16" i="8" s="1"/>
  <c r="L15" i="8"/>
  <c r="L16" i="8" s="1"/>
  <c r="I15" i="8"/>
  <c r="I16" i="8" s="1"/>
  <c r="F15" i="8"/>
  <c r="F16" i="8" s="1"/>
  <c r="C15" i="8"/>
  <c r="C16" i="8" s="1"/>
  <c r="U35" i="4"/>
  <c r="R35" i="4"/>
  <c r="O35" i="4"/>
  <c r="L35" i="4"/>
  <c r="I35" i="4"/>
  <c r="F35" i="4"/>
  <c r="C35" i="4"/>
  <c r="U31" i="4"/>
  <c r="U36" i="4" s="1"/>
  <c r="R31" i="4"/>
  <c r="R36" i="4" s="1"/>
  <c r="O31" i="4"/>
  <c r="O36" i="4" s="1"/>
  <c r="L31" i="4"/>
  <c r="I31" i="4"/>
  <c r="F31" i="4"/>
  <c r="F36" i="4" s="1"/>
  <c r="C31" i="4"/>
  <c r="C36" i="4" s="1"/>
  <c r="G10" i="29"/>
  <c r="G8" i="29"/>
  <c r="G9" i="29"/>
  <c r="M8" i="29"/>
  <c r="M9" i="29"/>
  <c r="M10" i="29"/>
  <c r="P8" i="29"/>
  <c r="P9" i="29"/>
  <c r="P10" i="29"/>
  <c r="C35" i="14" l="1"/>
  <c r="F35" i="14"/>
  <c r="U18" i="16"/>
  <c r="O18" i="16"/>
  <c r="C18" i="16"/>
  <c r="F18" i="16"/>
  <c r="L36" i="12"/>
  <c r="L35" i="14"/>
  <c r="I35" i="14"/>
  <c r="I34" i="6"/>
  <c r="I37" i="2"/>
  <c r="L18" i="16"/>
  <c r="R18" i="16"/>
  <c r="I36" i="12"/>
  <c r="L36" i="4"/>
  <c r="I36" i="4"/>
  <c r="D26" i="5"/>
  <c r="B15" i="22" l="1"/>
  <c r="I15" i="22" s="1"/>
  <c r="C15" i="22"/>
  <c r="D15" i="22"/>
  <c r="E15" i="22" s="1"/>
  <c r="F15" i="22"/>
  <c r="G15" i="22" s="1"/>
  <c r="B15" i="8" l="1"/>
  <c r="B16" i="8" s="1"/>
  <c r="Q16" i="27"/>
  <c r="O16" i="27"/>
  <c r="M16" i="27"/>
  <c r="G16" i="27"/>
  <c r="E16" i="27"/>
  <c r="Q7" i="27"/>
  <c r="Q8" i="27"/>
  <c r="Q9" i="27"/>
  <c r="Q10" i="27"/>
  <c r="Q11" i="27"/>
  <c r="Q12" i="27"/>
  <c r="O7" i="27"/>
  <c r="O8" i="27"/>
  <c r="O9" i="27"/>
  <c r="O10" i="27"/>
  <c r="O11" i="27"/>
  <c r="O12" i="27"/>
  <c r="M7" i="27"/>
  <c r="M8" i="27"/>
  <c r="M9" i="27"/>
  <c r="M10" i="27"/>
  <c r="M11" i="27"/>
  <c r="M12" i="27"/>
  <c r="G7" i="27"/>
  <c r="G8" i="27"/>
  <c r="G9" i="27"/>
  <c r="G10" i="27"/>
  <c r="G11" i="27"/>
  <c r="G12" i="27"/>
  <c r="E7" i="27"/>
  <c r="E8" i="27"/>
  <c r="E9" i="27"/>
  <c r="E10" i="27"/>
  <c r="E11" i="27"/>
  <c r="E12" i="27"/>
  <c r="Q6" i="27"/>
  <c r="O6" i="27"/>
  <c r="M6" i="27"/>
  <c r="G6" i="27"/>
  <c r="E6" i="27"/>
  <c r="Q3" i="27"/>
  <c r="O3" i="27"/>
  <c r="M3" i="27"/>
  <c r="E3" i="27"/>
  <c r="Q34" i="26"/>
  <c r="Q33" i="26"/>
  <c r="O34" i="26"/>
  <c r="O33" i="26"/>
  <c r="M34" i="26"/>
  <c r="M33" i="26"/>
  <c r="G34" i="26"/>
  <c r="G33" i="26"/>
  <c r="E34" i="26"/>
  <c r="E33" i="26"/>
  <c r="Q6" i="26"/>
  <c r="Q7" i="26"/>
  <c r="Q8" i="26"/>
  <c r="Q9" i="26"/>
  <c r="Q10" i="26"/>
  <c r="Q11" i="26"/>
  <c r="Q13" i="26"/>
  <c r="Q14" i="26"/>
  <c r="Q15" i="26"/>
  <c r="Q16" i="26"/>
  <c r="Q17" i="26"/>
  <c r="Q18" i="26"/>
  <c r="Q21" i="26"/>
  <c r="Q23" i="26"/>
  <c r="Q24" i="26"/>
  <c r="Q25" i="26"/>
  <c r="Q27" i="26"/>
  <c r="Q28" i="26"/>
  <c r="O6" i="26"/>
  <c r="O7" i="26"/>
  <c r="O8" i="26"/>
  <c r="O9" i="26"/>
  <c r="O10" i="26"/>
  <c r="O11" i="26"/>
  <c r="O13" i="26"/>
  <c r="O14" i="26"/>
  <c r="O15" i="26"/>
  <c r="O16" i="26"/>
  <c r="O17" i="26"/>
  <c r="O18" i="26"/>
  <c r="O21" i="26"/>
  <c r="O23" i="26"/>
  <c r="O24" i="26"/>
  <c r="O25" i="26"/>
  <c r="O27" i="26"/>
  <c r="O28" i="26"/>
  <c r="M6" i="26"/>
  <c r="M7" i="26"/>
  <c r="M8" i="26"/>
  <c r="M9" i="26"/>
  <c r="M10" i="26"/>
  <c r="M11" i="26"/>
  <c r="M13" i="26"/>
  <c r="M14" i="26"/>
  <c r="M15" i="26"/>
  <c r="M16" i="26"/>
  <c r="M17" i="26"/>
  <c r="M18" i="26"/>
  <c r="M21" i="26"/>
  <c r="M23" i="26"/>
  <c r="M24" i="26"/>
  <c r="M25" i="26"/>
  <c r="M27" i="26"/>
  <c r="M28" i="26"/>
  <c r="G6" i="26"/>
  <c r="G7" i="26"/>
  <c r="G8" i="26"/>
  <c r="G9" i="26"/>
  <c r="G10" i="26"/>
  <c r="G11" i="26"/>
  <c r="G13" i="26"/>
  <c r="G14" i="26"/>
  <c r="G15" i="26"/>
  <c r="G16" i="26"/>
  <c r="G17" i="26"/>
  <c r="G18" i="26"/>
  <c r="G21" i="26"/>
  <c r="G23" i="26"/>
  <c r="G24" i="26"/>
  <c r="G25" i="26"/>
  <c r="G27" i="26"/>
  <c r="G28" i="26"/>
  <c r="E6" i="26"/>
  <c r="E7" i="26"/>
  <c r="E8" i="26"/>
  <c r="E9" i="26"/>
  <c r="E10" i="26"/>
  <c r="E11" i="26"/>
  <c r="E13" i="26"/>
  <c r="E14" i="26"/>
  <c r="E15" i="26"/>
  <c r="E16" i="26"/>
  <c r="E17" i="26"/>
  <c r="E18" i="26"/>
  <c r="E21" i="26"/>
  <c r="E23" i="26"/>
  <c r="E24" i="26"/>
  <c r="E25" i="26"/>
  <c r="E27" i="26"/>
  <c r="E28" i="26"/>
  <c r="Q3" i="26"/>
  <c r="O3" i="26"/>
  <c r="M3" i="26"/>
  <c r="G3" i="26"/>
  <c r="E3" i="26"/>
  <c r="Q9" i="22"/>
  <c r="Q10" i="22"/>
  <c r="Q11" i="22"/>
  <c r="Q12" i="22"/>
  <c r="Q13" i="22"/>
  <c r="O9" i="22"/>
  <c r="O10" i="22"/>
  <c r="O11" i="22"/>
  <c r="O12" i="22"/>
  <c r="O13" i="22"/>
  <c r="M9" i="22"/>
  <c r="M10" i="22"/>
  <c r="M11" i="22"/>
  <c r="M12" i="22"/>
  <c r="M13" i="22"/>
  <c r="G9" i="22"/>
  <c r="G10" i="22"/>
  <c r="G11" i="22"/>
  <c r="G12" i="22"/>
  <c r="G13" i="22"/>
  <c r="E10" i="22"/>
  <c r="E11" i="22"/>
  <c r="E12" i="22"/>
  <c r="E13" i="22"/>
  <c r="E3" i="22"/>
  <c r="G3" i="22"/>
  <c r="M3" i="22"/>
  <c r="O3" i="22"/>
  <c r="Q3" i="22"/>
  <c r="P36" i="21"/>
  <c r="N36" i="21"/>
  <c r="L36" i="21"/>
  <c r="F36" i="21"/>
  <c r="C36" i="21"/>
  <c r="D36" i="21"/>
  <c r="G3" i="21"/>
  <c r="G4" i="21"/>
  <c r="G7" i="21"/>
  <c r="G8" i="21"/>
  <c r="G9" i="21"/>
  <c r="G10" i="21"/>
  <c r="G12" i="21"/>
  <c r="G13" i="21"/>
  <c r="G14" i="21"/>
  <c r="G18" i="21"/>
  <c r="G19" i="21"/>
  <c r="G20" i="21"/>
  <c r="G21" i="21"/>
  <c r="G22" i="21"/>
  <c r="G23" i="21"/>
  <c r="G24" i="21"/>
  <c r="G25" i="21"/>
  <c r="B36" i="21"/>
  <c r="B31" i="21"/>
  <c r="B16" i="22"/>
  <c r="B14" i="27"/>
  <c r="B37" i="26"/>
  <c r="B31" i="26"/>
  <c r="B38" i="26" s="1"/>
  <c r="Q37" i="26" l="1"/>
  <c r="K37" i="26"/>
  <c r="O36" i="21"/>
  <c r="Q36" i="21"/>
  <c r="G36" i="21"/>
  <c r="M36" i="21"/>
  <c r="B37" i="21"/>
  <c r="I37" i="21" s="1"/>
  <c r="I31" i="21"/>
  <c r="K31" i="21"/>
  <c r="E36" i="21"/>
  <c r="E37" i="26"/>
  <c r="G37" i="26"/>
  <c r="M37" i="26"/>
  <c r="O37" i="26"/>
  <c r="B31" i="4"/>
  <c r="D7" i="9"/>
  <c r="F7" i="9"/>
  <c r="P7" i="9"/>
  <c r="N7" i="9"/>
  <c r="L7" i="9"/>
  <c r="H11" i="9"/>
  <c r="H12" i="9"/>
  <c r="H13" i="9"/>
  <c r="H10" i="9"/>
  <c r="H8" i="9"/>
  <c r="J13" i="9"/>
  <c r="J12" i="9"/>
  <c r="J11" i="9"/>
  <c r="J10" i="9"/>
  <c r="J8" i="9"/>
  <c r="J7" i="9"/>
  <c r="H7" i="9"/>
  <c r="D15" i="5"/>
  <c r="P15" i="5"/>
  <c r="N15" i="5"/>
  <c r="L15" i="5"/>
  <c r="F15" i="5"/>
  <c r="B17" i="27" l="1"/>
  <c r="I17" i="27" l="1"/>
  <c r="K17" i="27"/>
  <c r="B18" i="27"/>
  <c r="E17" i="27"/>
  <c r="Q17" i="27"/>
  <c r="M17" i="27"/>
  <c r="G17" i="27"/>
  <c r="O17" i="27"/>
  <c r="K28" i="7" l="1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3" i="7"/>
  <c r="K31" i="7"/>
  <c r="P20" i="7"/>
  <c r="N20" i="7"/>
  <c r="D20" i="7"/>
  <c r="F20" i="7"/>
  <c r="D22" i="3"/>
  <c r="N22" i="3"/>
  <c r="P22" i="3"/>
  <c r="L22" i="3"/>
  <c r="F22" i="3"/>
  <c r="K32" i="7" l="1"/>
  <c r="B31" i="2"/>
  <c r="B33" i="6"/>
  <c r="B30" i="6"/>
  <c r="B35" i="4"/>
  <c r="B34" i="6" l="1"/>
  <c r="F32" i="28"/>
  <c r="H32" i="28"/>
  <c r="C14" i="27"/>
  <c r="C18" i="27" s="1"/>
  <c r="F3" i="15" l="1"/>
  <c r="C31" i="21" l="1"/>
  <c r="C37" i="21" s="1"/>
  <c r="Q4" i="21" l="1"/>
  <c r="Q7" i="21"/>
  <c r="Q8" i="21"/>
  <c r="Q9" i="21"/>
  <c r="Q10" i="21"/>
  <c r="Q12" i="21"/>
  <c r="Q13" i="21"/>
  <c r="Q14" i="21"/>
  <c r="Q18" i="21"/>
  <c r="Q19" i="21"/>
  <c r="Q20" i="21"/>
  <c r="Q21" i="21"/>
  <c r="Q22" i="21"/>
  <c r="Q23" i="21"/>
  <c r="Q24" i="21"/>
  <c r="Q25" i="21"/>
  <c r="O4" i="21"/>
  <c r="O7" i="21"/>
  <c r="O8" i="21"/>
  <c r="O9" i="21"/>
  <c r="O10" i="21"/>
  <c r="O12" i="21"/>
  <c r="O13" i="21"/>
  <c r="O14" i="21"/>
  <c r="O18" i="21"/>
  <c r="O19" i="21"/>
  <c r="O20" i="21"/>
  <c r="O21" i="21"/>
  <c r="O22" i="21"/>
  <c r="O23" i="21"/>
  <c r="O24" i="21"/>
  <c r="O25" i="21"/>
  <c r="M4" i="21"/>
  <c r="M7" i="21"/>
  <c r="M8" i="21"/>
  <c r="M9" i="21"/>
  <c r="M10" i="21"/>
  <c r="M12" i="21"/>
  <c r="M13" i="21"/>
  <c r="M14" i="21"/>
  <c r="M18" i="21"/>
  <c r="M19" i="21"/>
  <c r="M20" i="21"/>
  <c r="M21" i="21"/>
  <c r="M22" i="21"/>
  <c r="M23" i="21"/>
  <c r="M24" i="21"/>
  <c r="M25" i="21"/>
  <c r="E4" i="21"/>
  <c r="E7" i="21"/>
  <c r="E8" i="21"/>
  <c r="E9" i="21"/>
  <c r="E10" i="21"/>
  <c r="E12" i="21"/>
  <c r="E13" i="21"/>
  <c r="E14" i="21"/>
  <c r="E18" i="21"/>
  <c r="E19" i="21"/>
  <c r="E20" i="21"/>
  <c r="E21" i="21"/>
  <c r="E23" i="21"/>
  <c r="E24" i="21"/>
  <c r="Q3" i="21"/>
  <c r="O3" i="21"/>
  <c r="M3" i="21"/>
  <c r="P31" i="15" l="1"/>
  <c r="B36" i="4"/>
  <c r="B36" i="2"/>
  <c r="B37" i="2" s="1"/>
  <c r="D31" i="21" l="1"/>
  <c r="E31" i="21" s="1"/>
  <c r="P16" i="17"/>
  <c r="N16" i="17"/>
  <c r="L16" i="17"/>
  <c r="H16" i="17"/>
  <c r="F16" i="17"/>
  <c r="D16" i="17"/>
  <c r="R16" i="17" s="1"/>
  <c r="N31" i="15"/>
  <c r="L31" i="15"/>
  <c r="J31" i="15"/>
  <c r="H31" i="15"/>
  <c r="F31" i="15"/>
  <c r="D31" i="15"/>
  <c r="B35" i="13"/>
  <c r="C35" i="13"/>
  <c r="C31" i="11"/>
  <c r="D31" i="11" s="1"/>
  <c r="B31" i="11"/>
  <c r="R31" i="11" l="1"/>
  <c r="H31" i="11"/>
  <c r="J31" i="11"/>
  <c r="R35" i="13"/>
  <c r="D37" i="21"/>
  <c r="E37" i="21" s="1"/>
  <c r="H6" i="7" l="1"/>
  <c r="H8" i="7"/>
  <c r="H9" i="7"/>
  <c r="H10" i="7"/>
  <c r="H12" i="7"/>
  <c r="H13" i="7"/>
  <c r="H14" i="7"/>
  <c r="H16" i="7"/>
  <c r="H17" i="7"/>
  <c r="H18" i="7"/>
  <c r="H19" i="7"/>
  <c r="H21" i="7"/>
  <c r="H22" i="7"/>
  <c r="H23" i="7"/>
  <c r="H24" i="7"/>
  <c r="H25" i="7"/>
  <c r="H26" i="7"/>
  <c r="H27" i="7"/>
  <c r="H5" i="7"/>
  <c r="I31" i="7"/>
  <c r="J6" i="7"/>
  <c r="J8" i="7"/>
  <c r="J9" i="7"/>
  <c r="J10" i="7"/>
  <c r="J12" i="7"/>
  <c r="J13" i="7"/>
  <c r="J14" i="7"/>
  <c r="J16" i="7"/>
  <c r="J17" i="7"/>
  <c r="J18" i="7"/>
  <c r="J19" i="7"/>
  <c r="J21" i="7"/>
  <c r="J22" i="7"/>
  <c r="J23" i="7"/>
  <c r="J24" i="7"/>
  <c r="J25" i="7"/>
  <c r="J26" i="7"/>
  <c r="J27" i="7"/>
  <c r="J5" i="7"/>
  <c r="C37" i="28" l="1"/>
  <c r="D37" i="28"/>
  <c r="E37" i="28"/>
  <c r="F37" i="28"/>
  <c r="G37" i="28"/>
  <c r="H37" i="28"/>
  <c r="I37" i="28"/>
  <c r="J37" i="28"/>
  <c r="K37" i="28"/>
  <c r="L37" i="28"/>
  <c r="M37" i="28"/>
  <c r="N37" i="28"/>
  <c r="O37" i="28"/>
  <c r="P37" i="28"/>
  <c r="Q37" i="28"/>
  <c r="B37" i="28"/>
  <c r="J32" i="28"/>
  <c r="K32" i="28"/>
  <c r="L32" i="28"/>
  <c r="M32" i="28"/>
  <c r="N32" i="28"/>
  <c r="O32" i="28"/>
  <c r="P32" i="28"/>
  <c r="Q32" i="28"/>
  <c r="E32" i="28"/>
  <c r="G32" i="28"/>
  <c r="I32" i="28"/>
  <c r="C32" i="28"/>
  <c r="D32" i="28"/>
  <c r="B32" i="28"/>
  <c r="B38" i="28" s="1"/>
  <c r="B28" i="11"/>
  <c r="R28" i="11" s="1"/>
  <c r="C28" i="11"/>
  <c r="D28" i="11" s="1"/>
  <c r="E28" i="11"/>
  <c r="E32" i="11" s="1"/>
  <c r="G28" i="11"/>
  <c r="H28" i="11" s="1"/>
  <c r="I28" i="11"/>
  <c r="J28" i="11" s="1"/>
  <c r="K28" i="11"/>
  <c r="K32" i="11" s="1"/>
  <c r="M28" i="11"/>
  <c r="M32" i="11" s="1"/>
  <c r="O28" i="11"/>
  <c r="O32" i="11" s="1"/>
  <c r="D29" i="11"/>
  <c r="F29" i="11"/>
  <c r="L29" i="11"/>
  <c r="N29" i="11"/>
  <c r="P29" i="11"/>
  <c r="D30" i="11"/>
  <c r="F30" i="11"/>
  <c r="H30" i="11"/>
  <c r="J30" i="11"/>
  <c r="L30" i="11"/>
  <c r="N30" i="11"/>
  <c r="P30" i="11"/>
  <c r="F31" i="11"/>
  <c r="L31" i="11"/>
  <c r="N31" i="11"/>
  <c r="P31" i="11"/>
  <c r="P31" i="21"/>
  <c r="Q31" i="21" s="1"/>
  <c r="M31" i="21"/>
  <c r="F31" i="21"/>
  <c r="L15" i="22"/>
  <c r="M15" i="22" s="1"/>
  <c r="P15" i="22"/>
  <c r="Q15" i="22" s="1"/>
  <c r="N15" i="22"/>
  <c r="O15" i="22" s="1"/>
  <c r="J15" i="22"/>
  <c r="K15" i="22" s="1"/>
  <c r="N31" i="21"/>
  <c r="O31" i="21" s="1"/>
  <c r="F37" i="21" l="1"/>
  <c r="G37" i="21" s="1"/>
  <c r="G31" i="21"/>
  <c r="F16" i="22"/>
  <c r="D16" i="22"/>
  <c r="E38" i="28"/>
  <c r="P38" i="28"/>
  <c r="G32" i="11"/>
  <c r="I32" i="11"/>
  <c r="N37" i="21"/>
  <c r="O37" i="21" s="1"/>
  <c r="L37" i="21"/>
  <c r="M37" i="21" s="1"/>
  <c r="P37" i="21"/>
  <c r="Q37" i="21" s="1"/>
  <c r="P16" i="22"/>
  <c r="Q16" i="22"/>
  <c r="L16" i="22"/>
  <c r="M16" i="22"/>
  <c r="N16" i="22"/>
  <c r="O16" i="22"/>
  <c r="J16" i="22"/>
  <c r="K16" i="22"/>
  <c r="H16" i="22"/>
  <c r="E16" i="22"/>
  <c r="C16" i="22"/>
  <c r="G16" i="22"/>
  <c r="Q38" i="28"/>
  <c r="O38" i="28"/>
  <c r="P41" i="28" s="1"/>
  <c r="C32" i="11"/>
  <c r="P28" i="11"/>
  <c r="D38" i="28"/>
  <c r="L38" i="28"/>
  <c r="K38" i="28"/>
  <c r="I38" i="28"/>
  <c r="H38" i="28"/>
  <c r="N38" i="28"/>
  <c r="M38" i="28"/>
  <c r="C38" i="28"/>
  <c r="J38" i="28"/>
  <c r="G38" i="28"/>
  <c r="F38" i="28"/>
  <c r="F28" i="11"/>
  <c r="N28" i="11"/>
  <c r="B32" i="11"/>
  <c r="R32" i="11" s="1"/>
  <c r="L28" i="11"/>
  <c r="I16" i="22"/>
  <c r="H32" i="11" l="1"/>
  <c r="J32" i="11"/>
  <c r="L32" i="11"/>
  <c r="P40" i="28"/>
  <c r="J37" i="21"/>
  <c r="K37" i="21" s="1"/>
  <c r="P32" i="11"/>
  <c r="D32" i="11"/>
  <c r="N32" i="11"/>
  <c r="F32" i="11"/>
  <c r="J5" i="3"/>
  <c r="J6" i="3"/>
  <c r="J7" i="3"/>
  <c r="J9" i="3"/>
  <c r="J10" i="3"/>
  <c r="J12" i="3"/>
  <c r="J14" i="3"/>
  <c r="J15" i="3"/>
  <c r="J16" i="3"/>
  <c r="J18" i="3"/>
  <c r="J19" i="3"/>
  <c r="J20" i="3"/>
  <c r="J21" i="3"/>
  <c r="J23" i="3"/>
  <c r="J24" i="3"/>
  <c r="J25" i="3"/>
  <c r="J26" i="3"/>
  <c r="J27" i="3"/>
  <c r="J28" i="3"/>
  <c r="H5" i="3"/>
  <c r="H6" i="3"/>
  <c r="H7" i="3"/>
  <c r="H9" i="3"/>
  <c r="H10" i="3"/>
  <c r="H12" i="3"/>
  <c r="H14" i="3"/>
  <c r="H15" i="3"/>
  <c r="H16" i="3"/>
  <c r="H18" i="3"/>
  <c r="H19" i="3"/>
  <c r="H20" i="3"/>
  <c r="H21" i="3"/>
  <c r="H23" i="3"/>
  <c r="H24" i="3"/>
  <c r="H25" i="3"/>
  <c r="H26" i="3"/>
  <c r="H27" i="3"/>
  <c r="H28" i="3"/>
  <c r="P30" i="3"/>
  <c r="N30" i="3"/>
  <c r="L30" i="3"/>
  <c r="F30" i="3"/>
  <c r="D30" i="3"/>
  <c r="P32" i="3"/>
  <c r="N32" i="3"/>
  <c r="L32" i="3"/>
  <c r="L33" i="3"/>
  <c r="F32" i="3"/>
  <c r="D32" i="3"/>
  <c r="O31" i="3"/>
  <c r="P31" i="3" s="1"/>
  <c r="M31" i="3"/>
  <c r="K31" i="3"/>
  <c r="L31" i="3" s="1"/>
  <c r="I31" i="3"/>
  <c r="J31" i="3" s="1"/>
  <c r="G31" i="3"/>
  <c r="H31" i="3" s="1"/>
  <c r="E31" i="3"/>
  <c r="C31" i="3"/>
  <c r="B31" i="3"/>
  <c r="R31" i="3" s="1"/>
  <c r="O34" i="3"/>
  <c r="M34" i="3"/>
  <c r="K34" i="3"/>
  <c r="I34" i="3"/>
  <c r="G34" i="3"/>
  <c r="E34" i="3"/>
  <c r="C34" i="3"/>
  <c r="B34" i="3"/>
  <c r="B31" i="7"/>
  <c r="O31" i="7"/>
  <c r="M31" i="7"/>
  <c r="G31" i="7"/>
  <c r="E31" i="7"/>
  <c r="C31" i="7"/>
  <c r="J5" i="5"/>
  <c r="J6" i="5"/>
  <c r="J7" i="5"/>
  <c r="J9" i="5"/>
  <c r="J10" i="5"/>
  <c r="J12" i="5"/>
  <c r="J14" i="5"/>
  <c r="J16" i="5"/>
  <c r="J18" i="5"/>
  <c r="J19" i="5"/>
  <c r="J20" i="5"/>
  <c r="J21" i="5"/>
  <c r="J23" i="5"/>
  <c r="J24" i="5"/>
  <c r="J25" i="5"/>
  <c r="J26" i="5"/>
  <c r="J27" i="5"/>
  <c r="J28" i="5"/>
  <c r="J30" i="5"/>
  <c r="H6" i="5"/>
  <c r="H7" i="5"/>
  <c r="H9" i="5"/>
  <c r="H10" i="5"/>
  <c r="H12" i="5"/>
  <c r="H14" i="5"/>
  <c r="H16" i="5"/>
  <c r="H18" i="5"/>
  <c r="H19" i="5"/>
  <c r="H20" i="5"/>
  <c r="H21" i="5"/>
  <c r="H23" i="5"/>
  <c r="H24" i="5"/>
  <c r="H25" i="5"/>
  <c r="H26" i="5"/>
  <c r="H27" i="5"/>
  <c r="H28" i="5"/>
  <c r="H30" i="5"/>
  <c r="O34" i="5"/>
  <c r="M34" i="5"/>
  <c r="K34" i="5"/>
  <c r="I34" i="5"/>
  <c r="J34" i="5" s="1"/>
  <c r="G34" i="5"/>
  <c r="H34" i="5" s="1"/>
  <c r="E34" i="5"/>
  <c r="C34" i="5"/>
  <c r="B34" i="5"/>
  <c r="R34" i="5" s="1"/>
  <c r="E31" i="5"/>
  <c r="B31" i="5"/>
  <c r="R31" i="5" s="1"/>
  <c r="D23" i="5"/>
  <c r="F23" i="5"/>
  <c r="L23" i="5"/>
  <c r="N23" i="5"/>
  <c r="P23" i="5"/>
  <c r="D24" i="5"/>
  <c r="F24" i="5"/>
  <c r="L24" i="5"/>
  <c r="N24" i="5"/>
  <c r="P24" i="5"/>
  <c r="D25" i="5"/>
  <c r="F25" i="5"/>
  <c r="L25" i="5"/>
  <c r="N25" i="5"/>
  <c r="P25" i="5"/>
  <c r="F26" i="5"/>
  <c r="L26" i="5"/>
  <c r="N26" i="5"/>
  <c r="P26" i="5"/>
  <c r="D27" i="5"/>
  <c r="F27" i="5"/>
  <c r="L27" i="5"/>
  <c r="N27" i="5"/>
  <c r="P27" i="5"/>
  <c r="D28" i="5"/>
  <c r="F28" i="5"/>
  <c r="L28" i="5"/>
  <c r="N28" i="5"/>
  <c r="P28" i="5"/>
  <c r="D29" i="5"/>
  <c r="F29" i="5"/>
  <c r="L29" i="5"/>
  <c r="N29" i="5"/>
  <c r="P29" i="5"/>
  <c r="D30" i="5"/>
  <c r="F30" i="5"/>
  <c r="L30" i="5"/>
  <c r="N30" i="5"/>
  <c r="P30" i="5"/>
  <c r="D32" i="5"/>
  <c r="F32" i="5"/>
  <c r="L32" i="5"/>
  <c r="N32" i="5"/>
  <c r="P32" i="5"/>
  <c r="G14" i="9"/>
  <c r="O28" i="7"/>
  <c r="M28" i="7"/>
  <c r="I28" i="7"/>
  <c r="J28" i="7" s="1"/>
  <c r="G28" i="7"/>
  <c r="H28" i="7" s="1"/>
  <c r="E28" i="7"/>
  <c r="C28" i="7"/>
  <c r="B28" i="7"/>
  <c r="R28" i="7" s="1"/>
  <c r="P23" i="7"/>
  <c r="P24" i="7"/>
  <c r="P25" i="7"/>
  <c r="P26" i="7"/>
  <c r="P27" i="7"/>
  <c r="N23" i="7"/>
  <c r="N24" i="7"/>
  <c r="N25" i="7"/>
  <c r="N26" i="7"/>
  <c r="N27" i="7"/>
  <c r="F23" i="7"/>
  <c r="F24" i="7"/>
  <c r="F25" i="7"/>
  <c r="F26" i="7"/>
  <c r="F27" i="7"/>
  <c r="D23" i="7"/>
  <c r="D24" i="7"/>
  <c r="D25" i="7"/>
  <c r="D26" i="7"/>
  <c r="D27" i="7"/>
  <c r="L30" i="7"/>
  <c r="L29" i="7"/>
  <c r="H30" i="7"/>
  <c r="F30" i="7"/>
  <c r="D29" i="7"/>
  <c r="F29" i="7"/>
  <c r="N29" i="7"/>
  <c r="P29" i="7"/>
  <c r="B14" i="9"/>
  <c r="D3" i="9"/>
  <c r="R31" i="7" l="1"/>
  <c r="J31" i="7"/>
  <c r="H31" i="7"/>
  <c r="B35" i="3"/>
  <c r="R35" i="3" s="1"/>
  <c r="R34" i="3"/>
  <c r="J34" i="3"/>
  <c r="H34" i="3"/>
  <c r="B15" i="9"/>
  <c r="R15" i="9" s="1"/>
  <c r="R14" i="9"/>
  <c r="H14" i="9"/>
  <c r="B35" i="5"/>
  <c r="R35" i="5" s="1"/>
  <c r="H31" i="5"/>
  <c r="E35" i="5"/>
  <c r="O32" i="7"/>
  <c r="D31" i="7"/>
  <c r="B32" i="7"/>
  <c r="F31" i="7"/>
  <c r="L31" i="7"/>
  <c r="N31" i="7"/>
  <c r="P31" i="7"/>
  <c r="E32" i="7"/>
  <c r="F32" i="7" s="1"/>
  <c r="C32" i="7"/>
  <c r="D32" i="7" s="1"/>
  <c r="D34" i="5"/>
  <c r="P34" i="3"/>
  <c r="G15" i="9"/>
  <c r="H15" i="9" s="1"/>
  <c r="I32" i="7"/>
  <c r="M32" i="7"/>
  <c r="L28" i="7"/>
  <c r="P28" i="7"/>
  <c r="G32" i="7"/>
  <c r="H32" i="7" s="1"/>
  <c r="G35" i="3"/>
  <c r="H35" i="3" s="1"/>
  <c r="L34" i="3"/>
  <c r="C35" i="3"/>
  <c r="D35" i="3" s="1"/>
  <c r="M35" i="3"/>
  <c r="N35" i="3" s="1"/>
  <c r="E35" i="3"/>
  <c r="F35" i="3" s="1"/>
  <c r="I35" i="3"/>
  <c r="J35" i="3" s="1"/>
  <c r="D34" i="3"/>
  <c r="F34" i="3"/>
  <c r="N31" i="3"/>
  <c r="D31" i="3"/>
  <c r="F31" i="3"/>
  <c r="K35" i="3"/>
  <c r="L35" i="3" s="1"/>
  <c r="O35" i="3"/>
  <c r="P35" i="3" s="1"/>
  <c r="N34" i="3"/>
  <c r="N28" i="7"/>
  <c r="D28" i="7"/>
  <c r="F28" i="7"/>
  <c r="L32" i="7" l="1"/>
  <c r="R32" i="7"/>
  <c r="J32" i="7"/>
  <c r="N32" i="7"/>
  <c r="P32" i="7"/>
  <c r="H37" i="26"/>
  <c r="I37" i="26" s="1"/>
  <c r="P32" i="15" l="1"/>
  <c r="N32" i="15"/>
  <c r="L32" i="15"/>
  <c r="F32" i="15"/>
  <c r="D32" i="15"/>
  <c r="P35" i="13"/>
  <c r="N35" i="13"/>
  <c r="L35" i="13"/>
  <c r="F35" i="13"/>
  <c r="D35" i="13"/>
  <c r="F35" i="5"/>
  <c r="P34" i="5"/>
  <c r="N34" i="5"/>
  <c r="L34" i="5"/>
  <c r="F34" i="5"/>
  <c r="P14" i="27" l="1"/>
  <c r="Q14" i="27" s="1"/>
  <c r="N14" i="27"/>
  <c r="O14" i="27" s="1"/>
  <c r="L14" i="27"/>
  <c r="M14" i="27" s="1"/>
  <c r="J14" i="27"/>
  <c r="K14" i="27" s="1"/>
  <c r="H14" i="27"/>
  <c r="I14" i="27" s="1"/>
  <c r="F14" i="27"/>
  <c r="G14" i="27" s="1"/>
  <c r="D14" i="27"/>
  <c r="E14" i="27" s="1"/>
  <c r="P31" i="26"/>
  <c r="N31" i="26"/>
  <c r="O31" i="26" s="1"/>
  <c r="L31" i="26"/>
  <c r="M31" i="26" s="1"/>
  <c r="J31" i="26"/>
  <c r="K31" i="26" s="1"/>
  <c r="H31" i="26"/>
  <c r="I31" i="26" s="1"/>
  <c r="F31" i="26"/>
  <c r="G31" i="26" s="1"/>
  <c r="D31" i="26"/>
  <c r="E31" i="26" s="1"/>
  <c r="C31" i="26"/>
  <c r="D18" i="27" l="1"/>
  <c r="E18" i="27" s="1"/>
  <c r="C38" i="26"/>
  <c r="F18" i="27"/>
  <c r="G18" i="27" s="1"/>
  <c r="N18" i="27"/>
  <c r="O18" i="27" s="1"/>
  <c r="P18" i="27"/>
  <c r="Q18" i="27" s="1"/>
  <c r="L18" i="27"/>
  <c r="M18" i="27" s="1"/>
  <c r="F38" i="26"/>
  <c r="G38" i="26" s="1"/>
  <c r="D38" i="26"/>
  <c r="E38" i="26" s="1"/>
  <c r="H38" i="26"/>
  <c r="I38" i="26" s="1"/>
  <c r="P38" i="26"/>
  <c r="Q38" i="26" s="1"/>
  <c r="Q31" i="26"/>
  <c r="J38" i="26"/>
  <c r="K38" i="26" s="1"/>
  <c r="L38" i="26"/>
  <c r="M38" i="26" s="1"/>
  <c r="N38" i="26"/>
  <c r="O38" i="26" s="1"/>
  <c r="J18" i="27"/>
  <c r="K18" i="27" s="1"/>
  <c r="H18" i="27"/>
  <c r="I18" i="27" s="1"/>
  <c r="B15" i="16" l="1"/>
  <c r="B18" i="16" s="1"/>
  <c r="B31" i="10"/>
  <c r="B35" i="10" s="1"/>
  <c r="P4" i="17" l="1"/>
  <c r="P5" i="17"/>
  <c r="P6" i="17"/>
  <c r="P7" i="17"/>
  <c r="P8" i="17"/>
  <c r="P9" i="17"/>
  <c r="P10" i="17"/>
  <c r="P11" i="17"/>
  <c r="P12" i="17"/>
  <c r="P13" i="17"/>
  <c r="P15" i="17"/>
  <c r="P3" i="17"/>
  <c r="N4" i="17"/>
  <c r="N5" i="17"/>
  <c r="N6" i="17"/>
  <c r="N7" i="17"/>
  <c r="N8" i="17"/>
  <c r="N9" i="17"/>
  <c r="N10" i="17"/>
  <c r="N11" i="17"/>
  <c r="N12" i="17"/>
  <c r="N13" i="17"/>
  <c r="N15" i="17"/>
  <c r="N3" i="17"/>
  <c r="L4" i="17"/>
  <c r="L5" i="17"/>
  <c r="L6" i="17"/>
  <c r="L7" i="17"/>
  <c r="L8" i="17"/>
  <c r="L9" i="17"/>
  <c r="L10" i="17"/>
  <c r="L11" i="17"/>
  <c r="L12" i="17"/>
  <c r="L13" i="17"/>
  <c r="L15" i="17"/>
  <c r="L3" i="17"/>
  <c r="J6" i="17"/>
  <c r="J7" i="17"/>
  <c r="J11" i="17"/>
  <c r="J12" i="17"/>
  <c r="J13" i="17"/>
  <c r="J15" i="17"/>
  <c r="J5" i="17"/>
  <c r="H6" i="17"/>
  <c r="H7" i="17"/>
  <c r="H11" i="17"/>
  <c r="H12" i="17"/>
  <c r="H13" i="17"/>
  <c r="H5" i="17"/>
  <c r="F4" i="17"/>
  <c r="F5" i="17"/>
  <c r="F6" i="17"/>
  <c r="F7" i="17"/>
  <c r="F8" i="17"/>
  <c r="F9" i="17"/>
  <c r="F10" i="17"/>
  <c r="F11" i="17"/>
  <c r="F12" i="17"/>
  <c r="F13" i="17"/>
  <c r="F15" i="17"/>
  <c r="F3" i="17"/>
  <c r="D4" i="17"/>
  <c r="D5" i="17"/>
  <c r="D6" i="17"/>
  <c r="D7" i="17"/>
  <c r="D8" i="17"/>
  <c r="D9" i="17"/>
  <c r="D10" i="17"/>
  <c r="D11" i="17"/>
  <c r="D12" i="17"/>
  <c r="D13" i="17"/>
  <c r="D15" i="17"/>
  <c r="D3" i="17"/>
  <c r="O14" i="17"/>
  <c r="O17" i="17" s="1"/>
  <c r="M14" i="17"/>
  <c r="M17" i="17" s="1"/>
  <c r="K14" i="17"/>
  <c r="K17" i="17" s="1"/>
  <c r="I14" i="17"/>
  <c r="E14" i="17"/>
  <c r="E17" i="17" s="1"/>
  <c r="C14" i="17"/>
  <c r="C17" i="17" s="1"/>
  <c r="B14" i="17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30" i="15"/>
  <c r="P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30" i="15"/>
  <c r="N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30" i="15"/>
  <c r="L3" i="15"/>
  <c r="J6" i="15"/>
  <c r="J8" i="15"/>
  <c r="J9" i="15"/>
  <c r="J11" i="15"/>
  <c r="J13" i="15"/>
  <c r="J14" i="15"/>
  <c r="J15" i="15"/>
  <c r="J17" i="15"/>
  <c r="J18" i="15"/>
  <c r="J19" i="15"/>
  <c r="J20" i="15"/>
  <c r="J22" i="15"/>
  <c r="J23" i="15"/>
  <c r="J24" i="15"/>
  <c r="J25" i="15"/>
  <c r="J26" i="15"/>
  <c r="J27" i="15"/>
  <c r="J30" i="15"/>
  <c r="J5" i="15"/>
  <c r="H6" i="15"/>
  <c r="H8" i="15"/>
  <c r="H9" i="15"/>
  <c r="H11" i="15"/>
  <c r="H13" i="15"/>
  <c r="H14" i="15"/>
  <c r="H15" i="15"/>
  <c r="H17" i="15"/>
  <c r="H18" i="15"/>
  <c r="H19" i="15"/>
  <c r="H20" i="15"/>
  <c r="H22" i="15"/>
  <c r="H23" i="15"/>
  <c r="H24" i="15"/>
  <c r="H25" i="15"/>
  <c r="H26" i="15"/>
  <c r="H27" i="15"/>
  <c r="H30" i="15"/>
  <c r="H5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30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30" i="15"/>
  <c r="O29" i="15"/>
  <c r="M29" i="15"/>
  <c r="K29" i="15"/>
  <c r="I29" i="15"/>
  <c r="G29" i="15"/>
  <c r="E29" i="15"/>
  <c r="C29" i="15"/>
  <c r="B29" i="15"/>
  <c r="R29" i="15" s="1"/>
  <c r="D3" i="15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2" i="13"/>
  <c r="P34" i="13"/>
  <c r="P33" i="13"/>
  <c r="P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2" i="13"/>
  <c r="N34" i="13"/>
  <c r="N33" i="13"/>
  <c r="N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2" i="13"/>
  <c r="L34" i="13"/>
  <c r="L33" i="13"/>
  <c r="L3" i="13"/>
  <c r="J6" i="13"/>
  <c r="J7" i="13"/>
  <c r="J9" i="13"/>
  <c r="J12" i="13"/>
  <c r="J14" i="13"/>
  <c r="J15" i="13"/>
  <c r="J16" i="13"/>
  <c r="J18" i="13"/>
  <c r="J19" i="13"/>
  <c r="J20" i="13"/>
  <c r="J21" i="13"/>
  <c r="J23" i="13"/>
  <c r="J24" i="13"/>
  <c r="J25" i="13"/>
  <c r="J26" i="13"/>
  <c r="J27" i="13"/>
  <c r="J28" i="13"/>
  <c r="J30" i="13"/>
  <c r="J32" i="13"/>
  <c r="J34" i="13"/>
  <c r="J5" i="13"/>
  <c r="H6" i="13"/>
  <c r="H7" i="13"/>
  <c r="H9" i="13"/>
  <c r="H10" i="13"/>
  <c r="H12" i="13"/>
  <c r="H14" i="13"/>
  <c r="H15" i="13"/>
  <c r="H16" i="13"/>
  <c r="H18" i="13"/>
  <c r="H19" i="13"/>
  <c r="H20" i="13"/>
  <c r="H21" i="13"/>
  <c r="H23" i="13"/>
  <c r="H24" i="13"/>
  <c r="H25" i="13"/>
  <c r="H26" i="13"/>
  <c r="H27" i="13"/>
  <c r="H28" i="13"/>
  <c r="H30" i="13"/>
  <c r="H32" i="13"/>
  <c r="H34" i="13"/>
  <c r="H5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2" i="13"/>
  <c r="F34" i="13"/>
  <c r="F33" i="13"/>
  <c r="F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2" i="13"/>
  <c r="D34" i="13"/>
  <c r="D33" i="13"/>
  <c r="D3" i="13"/>
  <c r="O31" i="13"/>
  <c r="M31" i="13"/>
  <c r="K31" i="13"/>
  <c r="I31" i="13"/>
  <c r="G31" i="13"/>
  <c r="E31" i="13"/>
  <c r="E36" i="13" s="1"/>
  <c r="C31" i="13"/>
  <c r="C36" i="13" s="1"/>
  <c r="B31" i="13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3" i="11"/>
  <c r="J6" i="11"/>
  <c r="J8" i="11"/>
  <c r="J9" i="11"/>
  <c r="J10" i="11"/>
  <c r="J12" i="11"/>
  <c r="J13" i="11"/>
  <c r="J14" i="11"/>
  <c r="R14" i="11" s="1"/>
  <c r="J16" i="11"/>
  <c r="J17" i="11"/>
  <c r="J18" i="11"/>
  <c r="J19" i="11"/>
  <c r="J21" i="11"/>
  <c r="J22" i="11"/>
  <c r="J23" i="11"/>
  <c r="J24" i="11"/>
  <c r="J25" i="11"/>
  <c r="J26" i="11"/>
  <c r="J5" i="11"/>
  <c r="H6" i="11"/>
  <c r="H8" i="11"/>
  <c r="H9" i="11"/>
  <c r="H10" i="11"/>
  <c r="H12" i="11"/>
  <c r="H13" i="11"/>
  <c r="H14" i="11"/>
  <c r="H16" i="11"/>
  <c r="H17" i="11"/>
  <c r="H18" i="11"/>
  <c r="H19" i="11"/>
  <c r="H21" i="11"/>
  <c r="H22" i="11"/>
  <c r="H23" i="11"/>
  <c r="H24" i="11"/>
  <c r="H25" i="11"/>
  <c r="H26" i="11"/>
  <c r="H5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3" i="11"/>
  <c r="P4" i="9"/>
  <c r="P5" i="9"/>
  <c r="P6" i="9"/>
  <c r="P8" i="9"/>
  <c r="P9" i="9"/>
  <c r="P10" i="9"/>
  <c r="P11" i="9"/>
  <c r="P12" i="9"/>
  <c r="P13" i="9"/>
  <c r="P3" i="9"/>
  <c r="N4" i="9"/>
  <c r="N5" i="9"/>
  <c r="N6" i="9"/>
  <c r="N8" i="9"/>
  <c r="N9" i="9"/>
  <c r="N10" i="9"/>
  <c r="N11" i="9"/>
  <c r="N12" i="9"/>
  <c r="N13" i="9"/>
  <c r="N3" i="9"/>
  <c r="L4" i="9"/>
  <c r="L5" i="9"/>
  <c r="L6" i="9"/>
  <c r="L8" i="9"/>
  <c r="L9" i="9"/>
  <c r="L10" i="9"/>
  <c r="L11" i="9"/>
  <c r="L12" i="9"/>
  <c r="L13" i="9"/>
  <c r="L3" i="9"/>
  <c r="J4" i="9"/>
  <c r="J5" i="9"/>
  <c r="H4" i="9"/>
  <c r="H5" i="9"/>
  <c r="F4" i="9"/>
  <c r="F5" i="9"/>
  <c r="F6" i="9"/>
  <c r="F8" i="9"/>
  <c r="F9" i="9"/>
  <c r="F10" i="9"/>
  <c r="F11" i="9"/>
  <c r="F12" i="9"/>
  <c r="F13" i="9"/>
  <c r="F3" i="9"/>
  <c r="D4" i="9"/>
  <c r="D5" i="9"/>
  <c r="D6" i="9"/>
  <c r="D8" i="9"/>
  <c r="D9" i="9"/>
  <c r="D10" i="9"/>
  <c r="D11" i="9"/>
  <c r="D12" i="9"/>
  <c r="D13" i="9"/>
  <c r="I14" i="9"/>
  <c r="J14" i="9" s="1"/>
  <c r="O14" i="9"/>
  <c r="M14" i="9"/>
  <c r="M15" i="9" s="1"/>
  <c r="N15" i="9" s="1"/>
  <c r="K14" i="9"/>
  <c r="K15" i="9" s="1"/>
  <c r="L15" i="9" s="1"/>
  <c r="E14" i="9"/>
  <c r="E15" i="9" s="1"/>
  <c r="F15" i="9" s="1"/>
  <c r="C14" i="9"/>
  <c r="C15" i="9" s="1"/>
  <c r="D15" i="9" s="1"/>
  <c r="J30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1" i="7"/>
  <c r="P22" i="7"/>
  <c r="P30" i="7"/>
  <c r="P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1" i="7"/>
  <c r="N22" i="7"/>
  <c r="N30" i="7"/>
  <c r="N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30" i="7"/>
  <c r="D3" i="7"/>
  <c r="H29" i="15" l="1"/>
  <c r="J29" i="15"/>
  <c r="B17" i="17"/>
  <c r="R17" i="17" s="1"/>
  <c r="R14" i="17"/>
  <c r="H14" i="17"/>
  <c r="D17" i="17"/>
  <c r="J14" i="17"/>
  <c r="B36" i="13"/>
  <c r="R36" i="13" s="1"/>
  <c r="R31" i="13"/>
  <c r="G17" i="17"/>
  <c r="H17" i="17" s="1"/>
  <c r="I17" i="17"/>
  <c r="J17" i="17" s="1"/>
  <c r="N29" i="15"/>
  <c r="L29" i="15"/>
  <c r="P29" i="15"/>
  <c r="G36" i="13"/>
  <c r="D36" i="13"/>
  <c r="P14" i="9"/>
  <c r="O15" i="9"/>
  <c r="P15" i="9" s="1"/>
  <c r="I15" i="9"/>
  <c r="J15" i="9" s="1"/>
  <c r="D14" i="9"/>
  <c r="F14" i="9"/>
  <c r="P31" i="13"/>
  <c r="O36" i="13"/>
  <c r="P36" i="13" s="1"/>
  <c r="N14" i="9"/>
  <c r="F36" i="13"/>
  <c r="F29" i="15"/>
  <c r="I36" i="13"/>
  <c r="L31" i="13"/>
  <c r="K36" i="13"/>
  <c r="L36" i="13" s="1"/>
  <c r="N14" i="17"/>
  <c r="N31" i="13"/>
  <c r="M36" i="13"/>
  <c r="N36" i="13" s="1"/>
  <c r="D14" i="17"/>
  <c r="L14" i="17"/>
  <c r="F14" i="17"/>
  <c r="P14" i="17"/>
  <c r="F31" i="13"/>
  <c r="D31" i="13"/>
  <c r="D29" i="15"/>
  <c r="L14" i="9"/>
  <c r="J33" i="5"/>
  <c r="H33" i="5"/>
  <c r="I31" i="5"/>
  <c r="J31" i="5" s="1"/>
  <c r="P4" i="5"/>
  <c r="P5" i="5"/>
  <c r="P6" i="5"/>
  <c r="P7" i="5"/>
  <c r="P8" i="5"/>
  <c r="P9" i="5"/>
  <c r="P10" i="5"/>
  <c r="P11" i="5"/>
  <c r="P12" i="5"/>
  <c r="P13" i="5"/>
  <c r="P14" i="5"/>
  <c r="P16" i="5"/>
  <c r="P17" i="5"/>
  <c r="P18" i="5"/>
  <c r="P19" i="5"/>
  <c r="P20" i="5"/>
  <c r="P21" i="5"/>
  <c r="P22" i="5"/>
  <c r="P33" i="5"/>
  <c r="P3" i="5"/>
  <c r="N4" i="5"/>
  <c r="N5" i="5"/>
  <c r="N6" i="5"/>
  <c r="N7" i="5"/>
  <c r="N8" i="5"/>
  <c r="N9" i="5"/>
  <c r="N10" i="5"/>
  <c r="N11" i="5"/>
  <c r="N12" i="5"/>
  <c r="N13" i="5"/>
  <c r="N14" i="5"/>
  <c r="N16" i="5"/>
  <c r="N17" i="5"/>
  <c r="N18" i="5"/>
  <c r="N19" i="5"/>
  <c r="N20" i="5"/>
  <c r="N21" i="5"/>
  <c r="N22" i="5"/>
  <c r="N33" i="5"/>
  <c r="N3" i="5"/>
  <c r="L4" i="5"/>
  <c r="L5" i="5"/>
  <c r="L6" i="5"/>
  <c r="L7" i="5"/>
  <c r="L8" i="5"/>
  <c r="L9" i="5"/>
  <c r="L10" i="5"/>
  <c r="L11" i="5"/>
  <c r="L12" i="5"/>
  <c r="L13" i="5"/>
  <c r="L14" i="5"/>
  <c r="L16" i="5"/>
  <c r="L17" i="5"/>
  <c r="L18" i="5"/>
  <c r="L19" i="5"/>
  <c r="L20" i="5"/>
  <c r="L21" i="5"/>
  <c r="L22" i="5"/>
  <c r="L33" i="5"/>
  <c r="L3" i="5"/>
  <c r="F4" i="5"/>
  <c r="F5" i="5"/>
  <c r="F6" i="5"/>
  <c r="F7" i="5"/>
  <c r="F8" i="5"/>
  <c r="F9" i="5"/>
  <c r="F10" i="5"/>
  <c r="F11" i="5"/>
  <c r="F12" i="5"/>
  <c r="F13" i="5"/>
  <c r="F14" i="5"/>
  <c r="F16" i="5"/>
  <c r="F17" i="5"/>
  <c r="F18" i="5"/>
  <c r="F19" i="5"/>
  <c r="F20" i="5"/>
  <c r="F21" i="5"/>
  <c r="F22" i="5"/>
  <c r="F33" i="5"/>
  <c r="F3" i="5"/>
  <c r="D4" i="5"/>
  <c r="D5" i="5"/>
  <c r="D6" i="5"/>
  <c r="D7" i="5"/>
  <c r="D8" i="5"/>
  <c r="D9" i="5"/>
  <c r="D10" i="5"/>
  <c r="D11" i="5"/>
  <c r="D12" i="5"/>
  <c r="D13" i="5"/>
  <c r="D14" i="5"/>
  <c r="D16" i="5"/>
  <c r="D17" i="5"/>
  <c r="D18" i="5"/>
  <c r="D19" i="5"/>
  <c r="D20" i="5"/>
  <c r="D21" i="5"/>
  <c r="D22" i="5"/>
  <c r="D33" i="5"/>
  <c r="D3" i="5"/>
  <c r="O31" i="5"/>
  <c r="O35" i="5" s="1"/>
  <c r="P35" i="5" s="1"/>
  <c r="M31" i="5"/>
  <c r="M35" i="5" s="1"/>
  <c r="N35" i="5" s="1"/>
  <c r="K31" i="5"/>
  <c r="K35" i="5" s="1"/>
  <c r="L35" i="5" s="1"/>
  <c r="C31" i="5"/>
  <c r="G35" i="5" l="1"/>
  <c r="H35" i="5" s="1"/>
  <c r="I35" i="5"/>
  <c r="J35" i="5" s="1"/>
  <c r="C35" i="5"/>
  <c r="D35" i="5" s="1"/>
  <c r="D31" i="5"/>
  <c r="N31" i="5"/>
  <c r="P17" i="17"/>
  <c r="N17" i="17"/>
  <c r="L17" i="17"/>
  <c r="F17" i="17"/>
  <c r="F31" i="5"/>
  <c r="L31" i="5"/>
  <c r="P31" i="5"/>
  <c r="J33" i="3"/>
  <c r="H3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3" i="3"/>
  <c r="P24" i="3"/>
  <c r="P25" i="3"/>
  <c r="P26" i="3"/>
  <c r="P27" i="3"/>
  <c r="P28" i="3"/>
  <c r="P29" i="3"/>
  <c r="P33" i="3"/>
  <c r="P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3" i="3"/>
  <c r="N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8" i="3"/>
  <c r="L29" i="3"/>
  <c r="L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3" i="3"/>
  <c r="D24" i="3"/>
  <c r="D25" i="3"/>
  <c r="D26" i="3"/>
  <c r="D27" i="3"/>
  <c r="D28" i="3"/>
  <c r="D29" i="3"/>
  <c r="D33" i="3"/>
  <c r="D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3" i="3"/>
  <c r="F24" i="3"/>
  <c r="F25" i="3"/>
  <c r="F26" i="3"/>
  <c r="F27" i="3"/>
  <c r="F28" i="3"/>
  <c r="F29" i="3"/>
  <c r="F33" i="3"/>
  <c r="I15" i="16"/>
  <c r="I18" i="16" s="1"/>
</calcChain>
</file>

<file path=xl/sharedStrings.xml><?xml version="1.0" encoding="utf-8"?>
<sst xmlns="http://schemas.openxmlformats.org/spreadsheetml/2006/main" count="4337" uniqueCount="1052">
  <si>
    <t>Table</t>
  </si>
  <si>
    <t>Sheet Name</t>
  </si>
  <si>
    <t>Table Legend</t>
  </si>
  <si>
    <t>Link</t>
  </si>
  <si>
    <t>Go To Sheet</t>
  </si>
  <si>
    <t>Table 1</t>
  </si>
  <si>
    <t>Occurrence retail meat and imported meat</t>
  </si>
  <si>
    <r>
      <rPr>
        <b/>
        <sz val="11"/>
        <rFont val="Calibri"/>
        <family val="2"/>
      </rPr>
      <t xml:space="preserve">Occurrence and prevalence of ESBL-/AmpC-/CP-producing </t>
    </r>
    <r>
      <rPr>
        <b/>
        <i/>
        <sz val="11"/>
        <rFont val="Calibri"/>
        <family val="2"/>
      </rPr>
      <t>E. coli</t>
    </r>
    <r>
      <rPr>
        <sz val="11"/>
        <rFont val="Calibri"/>
        <family val="2"/>
      </rPr>
      <t xml:space="preserve"> isolates from</t>
    </r>
    <r>
      <rPr>
        <b/>
        <sz val="11"/>
        <rFont val="Calibri"/>
        <family val="2"/>
      </rPr>
      <t xml:space="preserve"> meat</t>
    </r>
    <r>
      <rPr>
        <sz val="11"/>
        <rFont val="Calibri"/>
        <family val="2"/>
      </rPr>
      <t xml:space="preserve"> collected at</t>
    </r>
    <r>
      <rPr>
        <b/>
        <sz val="11"/>
        <rFont val="Calibri"/>
        <family val="2"/>
      </rPr>
      <t xml:space="preserve"> retail</t>
    </r>
    <r>
      <rPr>
        <sz val="11"/>
        <rFont val="Calibri"/>
        <family val="2"/>
      </rPr>
      <t xml:space="preserve"> and </t>
    </r>
    <r>
      <rPr>
        <b/>
        <sz val="11"/>
        <rFont val="Calibri"/>
        <family val="2"/>
      </rPr>
      <t>border control posts</t>
    </r>
    <r>
      <rPr>
        <sz val="11"/>
        <rFont val="Calibri"/>
        <family val="2"/>
      </rPr>
      <t xml:space="preserve">, in EU MSs, United Kingdom (Northern Ireland) and non-MSs, </t>
    </r>
    <r>
      <rPr>
        <b/>
        <sz val="11"/>
        <rFont val="Calibri"/>
        <family val="2"/>
      </rPr>
      <t>2023-2024</t>
    </r>
  </si>
  <si>
    <t>Table 2</t>
  </si>
  <si>
    <r>
      <t xml:space="preserve">Indicator </t>
    </r>
    <r>
      <rPr>
        <i/>
        <sz val="11"/>
        <rFont val="Calibri"/>
        <family val="2"/>
        <scheme val="minor"/>
      </rPr>
      <t xml:space="preserve">E. coli </t>
    </r>
    <r>
      <rPr>
        <sz val="11"/>
        <rFont val="Calibri"/>
        <family val="2"/>
        <scheme val="minor"/>
      </rPr>
      <t>broilers</t>
    </r>
  </si>
  <si>
    <r>
      <rPr>
        <b/>
        <sz val="11"/>
        <rFont val="Calibri"/>
        <family val="2"/>
        <scheme val="minor"/>
      </rPr>
      <t xml:space="preserve">Occurrence of Presumptive ESBL-/AmpC-/CP-producing indicator </t>
    </r>
    <r>
      <rPr>
        <b/>
        <i/>
        <sz val="11"/>
        <rFont val="Calibri"/>
        <family val="2"/>
        <scheme val="minor"/>
      </rPr>
      <t>E. coli</t>
    </r>
    <r>
      <rPr>
        <i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broilers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routine monitoring</t>
    </r>
    <r>
      <rPr>
        <sz val="11"/>
        <rFont val="Calibri"/>
        <family val="2"/>
        <scheme val="minor"/>
      </rPr>
      <t xml:space="preserve"> and subjected to supplementary testing (Panel 2), in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</si>
  <si>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3</t>
  </si>
  <si>
    <t>Indicator E. coli turkeys</t>
  </si>
  <si>
    <r>
      <rPr>
        <b/>
        <sz val="11"/>
        <rFont val="Calibri"/>
        <family val="2"/>
        <scheme val="minor"/>
      </rPr>
      <t xml:space="preserve">Occurrence of Presumptive ESBL-/AmpC/CP-producing indicator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turkeys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 xml:space="preserve">routine monitoring </t>
    </r>
    <r>
      <rPr>
        <sz val="11"/>
        <rFont val="Calibri"/>
        <family val="2"/>
        <scheme val="minor"/>
      </rPr>
      <t xml:space="preserve">and subjected to supplementary testing (Panel 2), in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</si>
  <si>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4</t>
  </si>
  <si>
    <t>Indicator E. coli pigs</t>
  </si>
  <si>
    <r>
      <rPr>
        <b/>
        <sz val="11"/>
        <rFont val="Calibri"/>
        <family val="2"/>
      </rPr>
      <t xml:space="preserve">Occurrence of presumptive ESBL-/AmpC-/CP-producing indicator </t>
    </r>
    <r>
      <rPr>
        <b/>
        <i/>
        <sz val="11"/>
        <rFont val="Calibri"/>
        <family val="2"/>
      </rPr>
      <t>E. coli</t>
    </r>
    <r>
      <rPr>
        <sz val="11"/>
        <rFont val="Calibri"/>
        <family val="2"/>
      </rPr>
      <t xml:space="preserve"> isolates from</t>
    </r>
    <r>
      <rPr>
        <b/>
        <sz val="11"/>
        <rFont val="Calibri"/>
        <family val="2"/>
      </rPr>
      <t xml:space="preserve"> pigs</t>
    </r>
    <r>
      <rPr>
        <sz val="11"/>
        <rFont val="Calibri"/>
        <family val="2"/>
      </rPr>
      <t xml:space="preserve"> collected through </t>
    </r>
    <r>
      <rPr>
        <b/>
        <sz val="11"/>
        <rFont val="Calibri"/>
        <family val="2"/>
      </rPr>
      <t>routine monitoring</t>
    </r>
    <r>
      <rPr>
        <sz val="11"/>
        <rFont val="Calibri"/>
        <family val="2"/>
      </rPr>
      <t xml:space="preserve"> and subjected to supplementary testing (Panel 2), in EU MSs, United Kingdom (Northern Ireland) and non-MSs, </t>
    </r>
    <r>
      <rPr>
        <b/>
        <sz val="11"/>
        <rFont val="Calibri"/>
        <family val="2"/>
      </rPr>
      <t xml:space="preserve">2023  </t>
    </r>
  </si>
  <si>
    <t>Table 5</t>
  </si>
  <si>
    <r>
      <t>Indicator</t>
    </r>
    <r>
      <rPr>
        <i/>
        <sz val="11"/>
        <rFont val="Calibri"/>
        <family val="2"/>
        <scheme val="minor"/>
      </rPr>
      <t xml:space="preserve"> E. coli</t>
    </r>
    <r>
      <rPr>
        <sz val="11"/>
        <rFont val="Calibri"/>
        <family val="2"/>
        <scheme val="minor"/>
      </rPr>
      <t xml:space="preserve"> calves</t>
    </r>
  </si>
  <si>
    <r>
      <rPr>
        <b/>
        <sz val="11"/>
        <rFont val="Calibri"/>
        <family val="2"/>
      </rPr>
      <t xml:space="preserve">Occurrence of presumptive ESBL-/AmpC-/CP-producing indicator </t>
    </r>
    <r>
      <rPr>
        <b/>
        <i/>
        <sz val="11"/>
        <rFont val="Calibri"/>
        <family val="2"/>
      </rPr>
      <t>E. coli</t>
    </r>
    <r>
      <rPr>
        <sz val="11"/>
        <rFont val="Calibri"/>
        <family val="2"/>
      </rPr>
      <t xml:space="preserve"> isolates from </t>
    </r>
    <r>
      <rPr>
        <b/>
        <sz val="11"/>
        <rFont val="Calibri"/>
        <family val="2"/>
      </rPr>
      <t xml:space="preserve">calves </t>
    </r>
    <r>
      <rPr>
        <sz val="11"/>
        <rFont val="Calibri"/>
        <family val="2"/>
      </rPr>
      <t xml:space="preserve">collected through </t>
    </r>
    <r>
      <rPr>
        <b/>
        <sz val="11"/>
        <rFont val="Calibri"/>
        <family val="2"/>
      </rPr>
      <t>routine monitoring</t>
    </r>
    <r>
      <rPr>
        <sz val="11"/>
        <rFont val="Calibri"/>
        <family val="2"/>
      </rPr>
      <t xml:space="preserve"> and subjected to supplementary testing (Panel 2), in EU MSs, United Kingdom (Northern Ireland) and non-MSs,  </t>
    </r>
    <r>
      <rPr>
        <b/>
        <sz val="11"/>
        <rFont val="Calibri"/>
        <family val="2"/>
      </rPr>
      <t xml:space="preserve">2023  </t>
    </r>
  </si>
  <si>
    <t>Table 6</t>
  </si>
  <si>
    <t>Prevalence broilers</t>
  </si>
  <si>
    <r>
      <rPr>
        <b/>
        <sz val="11"/>
        <rFont val="Calibri"/>
        <family val="2"/>
        <scheme val="minor"/>
      </rPr>
      <t>Prevalence of presumptive ESBL-/AmpC-/CP-producing</t>
    </r>
    <r>
      <rPr>
        <b/>
        <i/>
        <sz val="11"/>
        <rFont val="Calibri"/>
        <family val="2"/>
        <scheme val="minor"/>
      </rPr>
      <t xml:space="preserve"> E.coli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broilers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</si>
  <si>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7</t>
  </si>
  <si>
    <t>Prevalence turkeys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</si>
  <si>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turkeys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</si>
  <si>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8</t>
  </si>
  <si>
    <t>Prevalence pigs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</si>
  <si>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pigs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>2023</t>
    </r>
    <r>
      <rPr>
        <sz val="11"/>
        <rFont val="Calibri"/>
        <family val="2"/>
        <scheme val="minor"/>
      </rPr>
      <t xml:space="preserve">  </t>
    </r>
  </si>
  <si>
    <t>Table 9</t>
  </si>
  <si>
    <t>Prevalence calves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</si>
  <si>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isolates</t>
    </r>
    <r>
      <rPr>
        <sz val="11"/>
        <rFont val="Calibri"/>
        <family val="2"/>
        <scheme val="minor"/>
      </rPr>
      <t xml:space="preserve"> from </t>
    </r>
    <r>
      <rPr>
        <b/>
        <sz val="11"/>
        <rFont val="Calibri"/>
        <family val="2"/>
        <scheme val="minor"/>
      </rPr>
      <t xml:space="preserve">calves </t>
    </r>
    <r>
      <rPr>
        <sz val="11"/>
        <rFont val="Calibri"/>
        <family val="2"/>
        <scheme val="minor"/>
      </rPr>
      <t>collected through</t>
    </r>
    <r>
      <rPr>
        <b/>
        <sz val="11"/>
        <rFont val="Calibri"/>
        <family val="2"/>
        <scheme val="minor"/>
      </rPr>
      <t xml:space="preserve"> 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 </t>
    </r>
  </si>
  <si>
    <t>Table 10</t>
  </si>
  <si>
    <t>Prevalence broiler meat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</si>
  <si>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 xml:space="preserve">E. coli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broiler meat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 , in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</si>
  <si>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11</t>
  </si>
  <si>
    <t>Prevalence turkey meat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</si>
  <si>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</t>
    </r>
    <r>
      <rPr>
        <b/>
        <sz val="11"/>
        <rFont val="Calibri"/>
        <family val="2"/>
        <scheme val="minor"/>
      </rPr>
      <t xml:space="preserve"> turkey meat </t>
    </r>
    <r>
      <rPr>
        <sz val="11"/>
        <rFont val="Calibri"/>
        <family val="2"/>
        <scheme val="minor"/>
      </rPr>
      <t xml:space="preserve">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>2024</t>
    </r>
    <r>
      <rPr>
        <sz val="11"/>
        <rFont val="Calibri"/>
        <family val="2"/>
        <scheme val="minor"/>
      </rPr>
      <t xml:space="preserve"> </t>
    </r>
  </si>
  <si>
    <t>Table 12</t>
  </si>
  <si>
    <t>Prevalence pig meat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</si>
  <si>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pig meat</t>
    </r>
    <r>
      <rPr>
        <sz val="11"/>
        <rFont val="Calibri"/>
        <family val="2"/>
        <scheme val="minor"/>
      </rPr>
      <t xml:space="preserve"> at retail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 </t>
    </r>
  </si>
  <si>
    <t>Table 13</t>
  </si>
  <si>
    <t>Prevalence bovine meat</t>
  </si>
  <si>
    <r>
      <rPr>
        <b/>
        <sz val="11"/>
        <rFont val="Calibri"/>
        <family val="2"/>
        <scheme val="minor"/>
      </rPr>
      <t xml:space="preserve">Prevalence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in </t>
    </r>
    <r>
      <rPr>
        <b/>
        <sz val="11"/>
        <rFont val="Calibri"/>
        <family val="2"/>
        <scheme val="minor"/>
      </rPr>
      <t>bovine meat</t>
    </r>
    <r>
      <rPr>
        <sz val="11"/>
        <rFont val="Calibri"/>
        <family val="2"/>
        <scheme val="minor"/>
      </rPr>
      <t xml:space="preserve"> at retail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</t>
    </r>
    <r>
      <rPr>
        <sz val="11"/>
        <rFont val="Calibri"/>
        <family val="2"/>
        <scheme val="minor"/>
      </rPr>
      <t xml:space="preserve"> </t>
    </r>
  </si>
  <si>
    <t>Table 14</t>
  </si>
  <si>
    <t>Occurrence broilers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</si>
  <si>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 xml:space="preserve">broilers </t>
    </r>
    <r>
      <rPr>
        <sz val="11"/>
        <rFont val="Calibri"/>
        <family val="2"/>
        <scheme val="minor"/>
      </rPr>
      <t xml:space="preserve">collected through </t>
    </r>
    <r>
      <rPr>
        <b/>
        <sz val="11"/>
        <rFont val="Calibri"/>
        <family val="2"/>
        <scheme val="minor"/>
      </rPr>
      <t xml:space="preserve">specific monitoring, </t>
    </r>
    <r>
      <rPr>
        <sz val="11"/>
        <rFont val="Calibri"/>
        <family val="2"/>
        <scheme val="minor"/>
      </rPr>
      <t>in EU MSs, United Kingdom (Northern Ireland) and non-MSs,</t>
    </r>
    <r>
      <rPr>
        <b/>
        <sz val="11"/>
        <rFont val="Calibri"/>
        <family val="2"/>
        <scheme val="minor"/>
      </rPr>
      <t xml:space="preserve"> 2024 </t>
    </r>
  </si>
  <si>
    <t>Table 15</t>
  </si>
  <si>
    <t>Occurrence turkeys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</si>
  <si>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turkeys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</si>
  <si>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16</t>
  </si>
  <si>
    <t>Occurrence pigs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</si>
  <si>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pigs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 </t>
    </r>
  </si>
  <si>
    <t>Table 17</t>
  </si>
  <si>
    <t>Occurrence calves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</si>
  <si>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isolates from</t>
    </r>
    <r>
      <rPr>
        <b/>
        <sz val="11"/>
        <rFont val="Calibri"/>
        <family val="2"/>
        <scheme val="minor"/>
      </rPr>
      <t xml:space="preserve"> calves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 </t>
    </r>
  </si>
  <si>
    <t>Table 18</t>
  </si>
  <si>
    <t>Occurrence broiler meat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</si>
  <si>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broiler meat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>2024</t>
    </r>
    <r>
      <rPr>
        <sz val="11"/>
        <rFont val="Calibri"/>
        <family val="2"/>
        <scheme val="minor"/>
      </rPr>
      <t xml:space="preserve"> </t>
    </r>
  </si>
  <si>
    <t>Table 19</t>
  </si>
  <si>
    <t>Occurrence turkey meat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</si>
  <si>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E.coli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isolates from </t>
    </r>
    <r>
      <rPr>
        <b/>
        <sz val="11"/>
        <rFont val="Calibri"/>
        <family val="2"/>
        <scheme val="minor"/>
      </rPr>
      <t>turkey meat</t>
    </r>
    <r>
      <rPr>
        <sz val="11"/>
        <rFont val="Calibri"/>
        <family val="2"/>
        <scheme val="minor"/>
      </rPr>
      <t xml:space="preserve">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 EU MSs, United Kingdom (Northern Ireland) and non-MSs, </t>
    </r>
    <r>
      <rPr>
        <b/>
        <sz val="11"/>
        <rFont val="Calibri"/>
        <family val="2"/>
        <scheme val="minor"/>
      </rPr>
      <t xml:space="preserve">2024 </t>
    </r>
  </si>
  <si>
    <t>Table 20</t>
  </si>
  <si>
    <t>Occurrence pig meat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</si>
  <si>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from </t>
    </r>
    <r>
      <rPr>
        <b/>
        <sz val="11"/>
        <rFont val="Calibri"/>
        <family val="2"/>
        <scheme val="minor"/>
      </rPr>
      <t>pig meat</t>
    </r>
    <r>
      <rPr>
        <sz val="11"/>
        <rFont val="Calibri"/>
        <family val="2"/>
        <scheme val="minor"/>
      </rPr>
      <t xml:space="preserve"> at retail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 xml:space="preserve">, in EU MSs, United Kingdom (Northern Ireland) and non-MSs, </t>
    </r>
    <r>
      <rPr>
        <b/>
        <sz val="11"/>
        <rFont val="Calibri"/>
        <family val="2"/>
        <scheme val="minor"/>
      </rPr>
      <t xml:space="preserve">2023  </t>
    </r>
  </si>
  <si>
    <t>Table 21</t>
  </si>
  <si>
    <t>Occurrence bovine meat</t>
  </si>
  <si>
    <r>
      <rPr>
        <b/>
        <sz val="11"/>
        <rFont val="Calibri"/>
        <family val="2"/>
        <scheme val="minor"/>
      </rPr>
      <t xml:space="preserve">Occurrence of presumptive ESBL-/AmpC-/CP-producing </t>
    </r>
    <r>
      <rPr>
        <b/>
        <i/>
        <sz val="11"/>
        <rFont val="Calibri"/>
        <family val="2"/>
        <scheme val="minor"/>
      </rPr>
      <t>E. coli</t>
    </r>
    <r>
      <rPr>
        <sz val="11"/>
        <rFont val="Calibri"/>
        <family val="2"/>
        <scheme val="minor"/>
      </rPr>
      <t xml:space="preserve"> isolates in </t>
    </r>
    <r>
      <rPr>
        <b/>
        <sz val="11"/>
        <rFont val="Calibri"/>
        <family val="2"/>
        <scheme val="minor"/>
      </rPr>
      <t>bovine meat</t>
    </r>
    <r>
      <rPr>
        <sz val="11"/>
        <rFont val="Calibri"/>
        <family val="2"/>
        <scheme val="minor"/>
      </rPr>
      <t xml:space="preserve"> at retail collected through </t>
    </r>
    <r>
      <rPr>
        <b/>
        <sz val="11"/>
        <rFont val="Calibri"/>
        <family val="2"/>
        <scheme val="minor"/>
      </rPr>
      <t>specific monitoring</t>
    </r>
    <r>
      <rPr>
        <sz val="11"/>
        <rFont val="Calibri"/>
        <family val="2"/>
        <scheme val="minor"/>
      </rPr>
      <t>, in EU MSs, United Kingdom (Northern Ireland) and non-MSs,</t>
    </r>
    <r>
      <rPr>
        <b/>
        <sz val="11"/>
        <rFont val="Calibri"/>
        <family val="2"/>
        <scheme val="minor"/>
      </rPr>
      <t xml:space="preserve"> 2023 </t>
    </r>
  </si>
  <si>
    <t>Table 22</t>
  </si>
  <si>
    <t>Samples investigated CP-producers</t>
  </si>
  <si>
    <r>
      <t xml:space="preserve">Number of samples investigated and </t>
    </r>
    <r>
      <rPr>
        <b/>
        <sz val="11"/>
        <rFont val="Calibri"/>
        <family val="2"/>
      </rPr>
      <t xml:space="preserve">presumptive CP-producing </t>
    </r>
    <r>
      <rPr>
        <b/>
        <i/>
        <sz val="11"/>
        <rFont val="Calibri"/>
        <family val="2"/>
      </rPr>
      <t>E. coli</t>
    </r>
    <r>
      <rPr>
        <i/>
        <sz val="11"/>
        <rFont val="Calibri"/>
        <family val="2"/>
      </rPr>
      <t xml:space="preserve"> </t>
    </r>
    <r>
      <rPr>
        <sz val="11"/>
        <rFont val="Calibri"/>
        <family val="2"/>
      </rPr>
      <t xml:space="preserve">from </t>
    </r>
    <r>
      <rPr>
        <b/>
        <sz val="11"/>
        <rFont val="Calibri"/>
        <family val="2"/>
      </rPr>
      <t>targeted</t>
    </r>
    <r>
      <rPr>
        <sz val="11"/>
        <rFont val="Calibri"/>
        <family val="2"/>
      </rPr>
      <t xml:space="preserve"> </t>
    </r>
    <r>
      <rPr>
        <b/>
        <sz val="11"/>
        <rFont val="Calibri"/>
        <family val="2"/>
      </rPr>
      <t>food-producing animals and derived meat</t>
    </r>
    <r>
      <rPr>
        <sz val="11"/>
        <rFont val="Calibri"/>
        <family val="2"/>
      </rPr>
      <t xml:space="preserve"> collected through</t>
    </r>
    <r>
      <rPr>
        <b/>
        <sz val="11"/>
        <rFont val="Calibri"/>
        <family val="2"/>
      </rPr>
      <t xml:space="preserve"> specific monitoring</t>
    </r>
    <r>
      <rPr>
        <sz val="11"/>
        <rFont val="Calibri"/>
        <family val="2"/>
      </rPr>
      <t xml:space="preserve">, in EU MSs, United Kingdom (Northern Ireland) and non-MSs, </t>
    </r>
    <r>
      <rPr>
        <b/>
        <sz val="11"/>
        <rFont val="Calibri"/>
        <family val="2"/>
      </rPr>
      <t xml:space="preserve">2023-2024 </t>
    </r>
  </si>
  <si>
    <t>Abbreviations</t>
  </si>
  <si>
    <t>Description</t>
  </si>
  <si>
    <t>AmpC</t>
  </si>
  <si>
    <t>CAZ</t>
  </si>
  <si>
    <t>CI</t>
  </si>
  <si>
    <t>Confidence interval</t>
  </si>
  <si>
    <t>CLA</t>
  </si>
  <si>
    <t>CP</t>
  </si>
  <si>
    <t>CTX</t>
  </si>
  <si>
    <t>ESBL</t>
  </si>
  <si>
    <t>MSs</t>
  </si>
  <si>
    <t>Member States</t>
  </si>
  <si>
    <t>n</t>
  </si>
  <si>
    <r>
      <t>n</t>
    </r>
    <r>
      <rPr>
        <vertAlign val="subscript"/>
        <sz val="11"/>
        <color theme="1"/>
        <rFont val="Calibri"/>
        <family val="2"/>
        <scheme val="minor"/>
      </rPr>
      <t>CP</t>
    </r>
  </si>
  <si>
    <t>non-MSs</t>
  </si>
  <si>
    <t>NP1</t>
  </si>
  <si>
    <t>NP2</t>
  </si>
  <si>
    <r>
      <t>N</t>
    </r>
    <r>
      <rPr>
        <vertAlign val="subscript"/>
        <sz val="11"/>
        <color theme="1"/>
        <rFont val="Calibri"/>
        <family val="2"/>
        <scheme val="minor"/>
      </rPr>
      <t>S</t>
    </r>
  </si>
  <si>
    <t>O%</t>
  </si>
  <si>
    <t>% of isolates from the total number of isolates tested with Panel 2</t>
  </si>
  <si>
    <t>P%</t>
  </si>
  <si>
    <t>% of isolates from the total number of smaples tested</t>
  </si>
  <si>
    <t>SYN</t>
  </si>
  <si>
    <t>%</t>
  </si>
  <si>
    <t>Note</t>
  </si>
  <si>
    <t>(a)</t>
  </si>
  <si>
    <r>
      <t xml:space="preserve">According to EUCAST guidelines (EUCAST, 2019), only isolates showing MIC &gt;1 mg/L for CTX and/or CAZ were considered (see Appendix </t>
    </r>
    <r>
      <rPr>
        <u/>
        <sz val="11"/>
        <color rgb="FF008080"/>
        <rFont val="Calibri"/>
        <family val="2"/>
        <scheme val="minor"/>
      </rPr>
      <t>B)</t>
    </r>
  </si>
  <si>
    <t>(b)</t>
  </si>
  <si>
    <t>All isolates showing clavulanate synergy with CTX or CAZ or both, suggesting ESBL phenotype, or reported presence of ESBL-encoding gene.</t>
  </si>
  <si>
    <t>Isolates showing synergy with CTX only, suggesting presence of ESBL with cefotaximase activity.</t>
  </si>
  <si>
    <t>(d)</t>
  </si>
  <si>
    <t>Isolates showing synergy with CAZ only, suggesting presence of ESBL with ceftazidimase activity.</t>
  </si>
  <si>
    <t>Isolates with cefoxitin resistance, suggesting AmpC phenotype, or reported presence of AmpC-encoding gene.</t>
  </si>
  <si>
    <t>(f)</t>
  </si>
  <si>
    <t>Isolates showing synergy with CTX or CAZ and cefoxitin resistance, suggesting ESBL- and AmpC enzymes in the same isolates, or both ESBL- and AmpC-encoding genes reported.</t>
  </si>
  <si>
    <t>(g)</t>
  </si>
  <si>
    <t>Isolates with meropenem resistance or CP-encoding gene reported.</t>
  </si>
  <si>
    <t>Country</t>
  </si>
  <si>
    <r>
      <t>ESBL and/or AmpC</t>
    </r>
    <r>
      <rPr>
        <b/>
        <vertAlign val="superscript"/>
        <sz val="11"/>
        <color theme="1"/>
        <rFont val="Calibri"/>
        <family val="2"/>
        <scheme val="minor"/>
      </rPr>
      <t>(a)</t>
    </r>
  </si>
  <si>
    <r>
      <t>ESBL</t>
    </r>
    <r>
      <rPr>
        <b/>
        <vertAlign val="superscript"/>
        <sz val="11"/>
        <rFont val="Calibri"/>
        <family val="2"/>
        <scheme val="minor"/>
      </rPr>
      <t>(b)</t>
    </r>
  </si>
  <si>
    <r>
      <t xml:space="preserve">ESBL only CLA/CTX SYN </t>
    </r>
    <r>
      <rPr>
        <b/>
        <vertAlign val="superscript"/>
        <sz val="11"/>
        <rFont val="Calibri"/>
        <family val="2"/>
        <scheme val="minor"/>
      </rPr>
      <t>(c)</t>
    </r>
  </si>
  <si>
    <r>
      <t>ESBL only CLA/CAZ SYN</t>
    </r>
    <r>
      <rPr>
        <b/>
        <vertAlign val="superscript"/>
        <sz val="11"/>
        <rFont val="Calibri"/>
        <family val="2"/>
        <scheme val="minor"/>
      </rPr>
      <t>(d)</t>
    </r>
  </si>
  <si>
    <r>
      <t>AmpC</t>
    </r>
    <r>
      <rPr>
        <b/>
        <vertAlign val="superscript"/>
        <sz val="11"/>
        <rFont val="Calibri"/>
        <family val="2"/>
        <scheme val="minor"/>
      </rPr>
      <t>(e)</t>
    </r>
  </si>
  <si>
    <r>
      <t>ESBL + AmpC</t>
    </r>
    <r>
      <rPr>
        <b/>
        <vertAlign val="superscript"/>
        <sz val="11"/>
        <rFont val="Calibri"/>
        <family val="2"/>
        <scheme val="minor"/>
      </rPr>
      <t>(f)</t>
    </r>
  </si>
  <si>
    <r>
      <t>CP</t>
    </r>
    <r>
      <rPr>
        <b/>
        <vertAlign val="superscript"/>
        <sz val="11"/>
        <rFont val="Calibri"/>
        <family val="2"/>
        <scheme val="minor"/>
      </rPr>
      <t>(g)</t>
    </r>
  </si>
  <si>
    <t>Austria</t>
  </si>
  <si>
    <t>Belgium</t>
  </si>
  <si>
    <t>Bulgaria</t>
  </si>
  <si>
    <t>-</t>
  </si>
  <si>
    <t>Croatia</t>
  </si>
  <si>
    <t>Cyprus</t>
  </si>
  <si>
    <t>Czechia</t>
  </si>
  <si>
    <t>Denmark</t>
  </si>
  <si>
    <t>Estonia</t>
  </si>
  <si>
    <t>Finland</t>
  </si>
  <si>
    <t>France</t>
  </si>
  <si>
    <t>Germany*</t>
  </si>
  <si>
    <t xml:space="preserve"> -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</si>
  <si>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</si>
  <si>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</si>
  <si>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</si>
  <si>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</si>
  <si>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</si>
  <si>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</si>
  <si>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</si>
  <si>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</si>
  <si>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Netherlands*</t>
  </si>
  <si>
    <t>Poland</t>
  </si>
  <si>
    <t>Portugal</t>
  </si>
  <si>
    <t>Romania</t>
  </si>
  <si>
    <t>Slovakia</t>
  </si>
  <si>
    <t>Slovenia</t>
  </si>
  <si>
    <t>Spain</t>
  </si>
  <si>
    <t>Sweden</t>
  </si>
  <si>
    <t>United Kingdom ( Northern Ireland)</t>
  </si>
  <si>
    <t>Total MSs (28 MSs)</t>
  </si>
  <si>
    <t>Iceland</t>
  </si>
  <si>
    <t>Norway</t>
  </si>
  <si>
    <t>Republic of North Macedonia</t>
  </si>
  <si>
    <t>Switzerland</t>
  </si>
  <si>
    <t>Total (4 non-MS)</t>
  </si>
  <si>
    <t>Total (32 MSs and non-MS)</t>
  </si>
  <si>
    <t>*</t>
  </si>
  <si>
    <t>Countries using WGS to identify ESBL-, AmpC- and/or CP-encoding genes</t>
  </si>
  <si>
    <t>Ns</t>
  </si>
  <si>
    <t>Germany</t>
  </si>
  <si>
    <t>Italy*</t>
  </si>
  <si>
    <t>Total (12 MSs)</t>
  </si>
  <si>
    <t>Total (12 MSs and non-MS)</t>
  </si>
  <si>
    <r>
      <t>ESBL</t>
    </r>
    <r>
      <rPr>
        <b/>
        <vertAlign val="superscript"/>
        <sz val="11"/>
        <color theme="1"/>
        <rFont val="Calibri"/>
        <family val="2"/>
        <scheme val="minor"/>
      </rPr>
      <t>(b)</t>
    </r>
  </si>
  <si>
    <r>
      <t xml:space="preserve">ESBL only CLA/CTX SYN </t>
    </r>
    <r>
      <rPr>
        <b/>
        <vertAlign val="superscript"/>
        <sz val="11"/>
        <color theme="1"/>
        <rFont val="Calibri"/>
        <family val="2"/>
        <scheme val="minor"/>
      </rPr>
      <t>(c)</t>
    </r>
  </si>
  <si>
    <r>
      <t>ESBL only CLA/CAZ SYN</t>
    </r>
    <r>
      <rPr>
        <b/>
        <vertAlign val="superscript"/>
        <sz val="11"/>
        <color theme="1"/>
        <rFont val="Calibri"/>
        <family val="2"/>
        <scheme val="minor"/>
      </rPr>
      <t>(d)</t>
    </r>
  </si>
  <si>
    <r>
      <t>AmpC</t>
    </r>
    <r>
      <rPr>
        <b/>
        <vertAlign val="superscript"/>
        <sz val="11"/>
        <color theme="1"/>
        <rFont val="Calibri"/>
        <family val="2"/>
        <scheme val="minor"/>
      </rPr>
      <t>(e)</t>
    </r>
  </si>
  <si>
    <r>
      <t>ESBL + AmpC</t>
    </r>
    <r>
      <rPr>
        <b/>
        <vertAlign val="superscript"/>
        <sz val="11"/>
        <color theme="1"/>
        <rFont val="Calibri"/>
        <family val="2"/>
        <scheme val="minor"/>
      </rPr>
      <t>(f)</t>
    </r>
  </si>
  <si>
    <r>
      <t>CP</t>
    </r>
    <r>
      <rPr>
        <b/>
        <vertAlign val="superscript"/>
        <sz val="11"/>
        <color theme="1"/>
        <rFont val="Calibri"/>
        <family val="2"/>
        <scheme val="minor"/>
      </rPr>
      <t>(g)</t>
    </r>
  </si>
  <si>
    <t>Netherlands</t>
  </si>
  <si>
    <t>Total (28 MSs)</t>
  </si>
  <si>
    <t>Montenegro</t>
  </si>
  <si>
    <t>Norway*</t>
  </si>
  <si>
    <t>Total (5 non-MSs)</t>
  </si>
  <si>
    <t>Total (33 MSs and non-MSs)</t>
  </si>
  <si>
    <t>Total (11 MSs)</t>
  </si>
  <si>
    <t>Total (2 non-MSs)</t>
  </si>
  <si>
    <t>Total (13 MSs and non-MS)</t>
  </si>
  <si>
    <t>%P</t>
  </si>
  <si>
    <t>95% CI</t>
  </si>
  <si>
    <t>Austria*</t>
  </si>
  <si>
    <t>11.9 - 20.4</t>
  </si>
  <si>
    <t>7.7 - 15.0</t>
  </si>
  <si>
    <t>2.7 - 7.9</t>
  </si>
  <si>
    <t>0.0 - 1.2</t>
  </si>
  <si>
    <t>0.0 - 1.8</t>
  </si>
  <si>
    <t>Belgium*</t>
  </si>
  <si>
    <t>51.7 - 63.0</t>
  </si>
  <si>
    <t>50.1 - 61.4</t>
  </si>
  <si>
    <t>0.5 - 3.7</t>
  </si>
  <si>
    <t>42.1 - 51.6</t>
  </si>
  <si>
    <t>30.2 - 39.3</t>
  </si>
  <si>
    <t>6.4 - 11.9</t>
  </si>
  <si>
    <t>0.5 - 2.9</t>
  </si>
  <si>
    <t>4.8 - 9.8</t>
  </si>
  <si>
    <t>3.3 - 7.7</t>
  </si>
  <si>
    <t>0.0 - 0.8</t>
  </si>
  <si>
    <t>21.9 - 30.2</t>
  </si>
  <si>
    <t>20.0 - 28.1</t>
  </si>
  <si>
    <t>2.6 - 6.5</t>
  </si>
  <si>
    <t>0.9 - 3.8</t>
  </si>
  <si>
    <t>38.5 - 55.0</t>
  </si>
  <si>
    <t>36.6 - 53.0</t>
  </si>
  <si>
    <t>7.8 - 19.1</t>
  </si>
  <si>
    <t>0.0 - 2.4</t>
  </si>
  <si>
    <t>0.0 - 3.7</t>
  </si>
  <si>
    <t>0.2 - 4.7</t>
  </si>
  <si>
    <t>Czechia*</t>
  </si>
  <si>
    <t>35.7 - 47.0</t>
  </si>
  <si>
    <t>16.1 - 25.4</t>
  </si>
  <si>
    <t>16.7 - 26.1</t>
  </si>
  <si>
    <t>1.8 - 4.5</t>
  </si>
  <si>
    <t>1.5 - 4.1</t>
  </si>
  <si>
    <t>0.4 - 2.2</t>
  </si>
  <si>
    <t>0.0 - 0.6</t>
  </si>
  <si>
    <t>0.0 - 1.1</t>
  </si>
  <si>
    <t>67.3 - 81.7</t>
  </si>
  <si>
    <t>50.3 - 66.5</t>
  </si>
  <si>
    <t>8.8 - 20.3</t>
  </si>
  <si>
    <t>0.7 - 6.6</t>
  </si>
  <si>
    <t>Finland*</t>
  </si>
  <si>
    <t>0.2 - 2.9</t>
  </si>
  <si>
    <t>8.0 - 15.1</t>
  </si>
  <si>
    <t>7.0 - 13.8</t>
  </si>
  <si>
    <t>0.2 - 2.6</t>
  </si>
  <si>
    <t>0.0 - 1.7</t>
  </si>
  <si>
    <t>31.1 - 40.8</t>
  </si>
  <si>
    <t>29.9 - 39.5</t>
  </si>
  <si>
    <t>0.4 - 2.9</t>
  </si>
  <si>
    <t>0.0 - 0.9</t>
  </si>
  <si>
    <t>48.8 - 62.0</t>
  </si>
  <si>
    <t>44.0 - 57.3</t>
  </si>
  <si>
    <t>5.1 - 12.7</t>
  </si>
  <si>
    <t>0.0 - 1.6</t>
  </si>
  <si>
    <t>1.0 - 5.6</t>
  </si>
  <si>
    <t>0.7 - 5.0</t>
  </si>
  <si>
    <t>57.0 - 66.3</t>
  </si>
  <si>
    <t>48.2 - 57.8</t>
  </si>
  <si>
    <t>17.9 - 25.8</t>
  </si>
  <si>
    <t>4.1 - 4.2</t>
  </si>
  <si>
    <t>4.3 - 9.2</t>
  </si>
  <si>
    <t>1.1 - 4.2</t>
  </si>
  <si>
    <t>10.0 - 18.1</t>
  </si>
  <si>
    <t>7.4 - 14.7</t>
  </si>
  <si>
    <t>0.9 - 4.8</t>
  </si>
  <si>
    <t>1.4 - 5.6</t>
  </si>
  <si>
    <t>36.3 - 45.7</t>
  </si>
  <si>
    <t>23.0 - 31.4</t>
  </si>
  <si>
    <t>10.8 - 17.4</t>
  </si>
  <si>
    <t>16.2 - 30.2</t>
  </si>
  <si>
    <t>10.5 - 22.9</t>
  </si>
  <si>
    <t>3.7 - 12.7</t>
  </si>
  <si>
    <t>3.2 - 11.9</t>
  </si>
  <si>
    <t>72.7 - 86.1</t>
  </si>
  <si>
    <t>59.9 - 75.4</t>
  </si>
  <si>
    <t>15.1 - 28.8</t>
  </si>
  <si>
    <t>4.2 - 13.6</t>
  </si>
  <si>
    <t>1.5 - 8.5</t>
  </si>
  <si>
    <t>1.9 - 24.3</t>
  </si>
  <si>
    <t>0.1 - 15.8</t>
  </si>
  <si>
    <t>0.0 - 10.6</t>
  </si>
  <si>
    <t>0.7 - 20.2</t>
  </si>
  <si>
    <t>79.1 - 90.3</t>
  </si>
  <si>
    <t>70.0 - 83.2</t>
  </si>
  <si>
    <t>9.3 - 20.3</t>
  </si>
  <si>
    <t>2.1 - 9.1</t>
  </si>
  <si>
    <t>1.7 - 8.3</t>
  </si>
  <si>
    <t>0.0 - 2.2</t>
  </si>
  <si>
    <t>10.8 - 19.1</t>
  </si>
  <si>
    <t>22.7 - 32.3</t>
  </si>
  <si>
    <t>16.1 - 24.8</t>
  </si>
  <si>
    <t>0.5 - 3.3</t>
  </si>
  <si>
    <t>0.3 - 2.9</t>
  </si>
  <si>
    <t>3.5 - 8.6</t>
  </si>
  <si>
    <t>0.0 - 1.0</t>
  </si>
  <si>
    <t>63.0 - 73.5</t>
  </si>
  <si>
    <t>49.7 - 60.8</t>
  </si>
  <si>
    <t>2.2 - 6.9</t>
  </si>
  <si>
    <t>7.5 - 14.5</t>
  </si>
  <si>
    <t>0.9 - 4.5</t>
  </si>
  <si>
    <t>58.5 - 67.6</t>
  </si>
  <si>
    <t>38.7 - 48.1</t>
  </si>
  <si>
    <t>6.8 - 12.4</t>
  </si>
  <si>
    <t>13.3 - 20.4</t>
  </si>
  <si>
    <t>1.7 - 5.2</t>
  </si>
  <si>
    <t>24.8 - 35.4</t>
  </si>
  <si>
    <t>16.5 - 26.0</t>
  </si>
  <si>
    <t>6.0 - 12.8</t>
  </si>
  <si>
    <t>22.8 - 37.1</t>
  </si>
  <si>
    <t>8.8 - 19.7</t>
  </si>
  <si>
    <t>4.6 - 13.5</t>
  </si>
  <si>
    <t>0.0 - 3.3</t>
  </si>
  <si>
    <t>10.8 - 22.4</t>
  </si>
  <si>
    <t>39.1 - 47.5</t>
  </si>
  <si>
    <t>29.7 - 37.7</t>
  </si>
  <si>
    <t>1.7 - 4.6</t>
  </si>
  <si>
    <t>0.0 - 1.3</t>
  </si>
  <si>
    <t>5.5 - 10.1</t>
  </si>
  <si>
    <t>1.1 - 3.7</t>
  </si>
  <si>
    <t>0.0 - 0.7</t>
  </si>
  <si>
    <t>Sweden*</t>
  </si>
  <si>
    <t>United Kingdom (Northern Ireland)</t>
  </si>
  <si>
    <t>1.6 - 5.3</t>
  </si>
  <si>
    <t>1.1 - 4.3</t>
  </si>
  <si>
    <t>0.0 - 1.4</t>
  </si>
  <si>
    <t>0.2 - 2.2</t>
  </si>
  <si>
    <t>33.2 -35.2</t>
  </si>
  <si>
    <t>26.3 - 28.1</t>
  </si>
  <si>
    <t>6.0 - 7.3</t>
  </si>
  <si>
    <t>0.4 - 0.8</t>
  </si>
  <si>
    <t>5.4 - 6.4</t>
  </si>
  <si>
    <t>0.9 - 1.4</t>
  </si>
  <si>
    <t>&lt;0.1</t>
  </si>
  <si>
    <t>0.0 - 0.1</t>
  </si>
  <si>
    <t>0.0 - 2.5</t>
  </si>
  <si>
    <t>1.2 - 5.0</t>
  </si>
  <si>
    <t>2.5 - 7.5</t>
  </si>
  <si>
    <t>2.3 - 7.1</t>
  </si>
  <si>
    <t>Total (3 non-MSs)</t>
  </si>
  <si>
    <t>1.9 - 4.3</t>
  </si>
  <si>
    <t>0.9 - 2.8</t>
  </si>
  <si>
    <t>0.6 - 2.3</t>
  </si>
  <si>
    <t>0.0 - 0.5</t>
  </si>
  <si>
    <t>Total (31 MSs and non-MSs)</t>
  </si>
  <si>
    <t>30.3 - 32.2</t>
  </si>
  <si>
    <t>23.9 - 25.7</t>
  </si>
  <si>
    <t>5.6 - 6.7</t>
  </si>
  <si>
    <t>5.0 - 5.9</t>
  </si>
  <si>
    <t>0.8 - 1.2</t>
  </si>
  <si>
    <t xml:space="preserve">Countries with negative results </t>
  </si>
  <si>
    <t>13.2 - 26.0</t>
  </si>
  <si>
    <t>7.4 - 18.1</t>
  </si>
  <si>
    <t>3.5 - 12.1</t>
  </si>
  <si>
    <t>0.0 - 2.3</t>
  </si>
  <si>
    <t>0.8 - 10.3</t>
  </si>
  <si>
    <t>0.0 - 6.6</t>
  </si>
  <si>
    <t>0.0 - 0.0</t>
  </si>
  <si>
    <t>0.0 - 4.4</t>
  </si>
  <si>
    <t>4.0 - 9.6</t>
  </si>
  <si>
    <t>3.3 - 8.5</t>
  </si>
  <si>
    <t>0.3 - 0.0</t>
  </si>
  <si>
    <t>27.5 - 37.4</t>
  </si>
  <si>
    <t>22.0 - 31.4</t>
  </si>
  <si>
    <t>3.7 - 8.8</t>
  </si>
  <si>
    <t>7.2 - 12.2</t>
  </si>
  <si>
    <t>4.3 - 8.5</t>
  </si>
  <si>
    <t>1.5 - 4.3</t>
  </si>
  <si>
    <t>1.6 - 4.5</t>
  </si>
  <si>
    <t>0.1 - 1.5</t>
  </si>
  <si>
    <t>10.3 - 26.7</t>
  </si>
  <si>
    <t>9.4 - 25.5</t>
  </si>
  <si>
    <t>2.4 - 13.7</t>
  </si>
  <si>
    <t>1.1 - 0.0</t>
  </si>
  <si>
    <t>0.0 - 5.9</t>
  </si>
  <si>
    <t>0.0 - 3.9</t>
  </si>
  <si>
    <t>27.2 - 36.9</t>
  </si>
  <si>
    <t>26.4 - 36.1</t>
  </si>
  <si>
    <t>0.2 - 2.3</t>
  </si>
  <si>
    <t>22.4 - 32.6</t>
  </si>
  <si>
    <t>17.3 - 26.8</t>
  </si>
  <si>
    <t>0.9 - 4.6</t>
  </si>
  <si>
    <t>1.6 - 5.9</t>
  </si>
  <si>
    <t>48.0 - 65.6</t>
  </si>
  <si>
    <t>42.6 - 60.4</t>
  </si>
  <si>
    <t>0.8 - 7.7</t>
  </si>
  <si>
    <t>0.5 - 6.6</t>
  </si>
  <si>
    <t>0.0 - 2.8</t>
  </si>
  <si>
    <t>42.4 - 58.9</t>
  </si>
  <si>
    <t>34.6 - 51.0</t>
  </si>
  <si>
    <t>2.0 - 0.4</t>
  </si>
  <si>
    <t>42.0 - 50.6</t>
  </si>
  <si>
    <t>40.6 - 49.1</t>
  </si>
  <si>
    <t>0.7 - 0.2</t>
  </si>
  <si>
    <t>0.4 - 2.4</t>
  </si>
  <si>
    <t>0.0 - 11.9</t>
  </si>
  <si>
    <t>25.5 - 28.7</t>
  </si>
  <si>
    <t>22.3 - 25.3</t>
  </si>
  <si>
    <t>2.2 - 3.6</t>
  </si>
  <si>
    <t>0.2 - 0.8</t>
  </si>
  <si>
    <t>1.7 - 2.8</t>
  </si>
  <si>
    <t>0.7 - 1.5</t>
  </si>
  <si>
    <t>Total (12 MSs and non-MSs)</t>
  </si>
  <si>
    <t xml:space="preserve">59.6 - 70.7 </t>
  </si>
  <si>
    <t xml:space="preserve">55.5 - 66.9 </t>
  </si>
  <si>
    <t xml:space="preserve">2.4 - 7.4 </t>
  </si>
  <si>
    <t xml:space="preserve">0 - 1.9 </t>
  </si>
  <si>
    <t xml:space="preserve">0 - 1.2 </t>
  </si>
  <si>
    <t>21.9 - 32.0</t>
  </si>
  <si>
    <t xml:space="preserve">17.4 - 26.9 </t>
  </si>
  <si>
    <t xml:space="preserve">2.7 - 7.8 </t>
  </si>
  <si>
    <t xml:space="preserve">32.5 - 40.2 </t>
  </si>
  <si>
    <t xml:space="preserve">29.8 - 37.4 </t>
  </si>
  <si>
    <t>13.6 - 19.6</t>
  </si>
  <si>
    <t>0.4 - 2.1</t>
  </si>
  <si>
    <t xml:space="preserve">1.1 - 3.6 </t>
  </si>
  <si>
    <t xml:space="preserve">0.2 - 1.7 </t>
  </si>
  <si>
    <t xml:space="preserve">0 - 0.6 </t>
  </si>
  <si>
    <t xml:space="preserve">39.3 - 51.1 </t>
  </si>
  <si>
    <t xml:space="preserve">32.0 - 43.4 </t>
  </si>
  <si>
    <t>3.2 - 8.8</t>
  </si>
  <si>
    <t>0 - 1.3</t>
  </si>
  <si>
    <t xml:space="preserve">4.8 - 11.3 </t>
  </si>
  <si>
    <t xml:space="preserve">0 - 1.3 </t>
  </si>
  <si>
    <t xml:space="preserve">3.5 - 17.0 </t>
  </si>
  <si>
    <t xml:space="preserve">2.0 - 13.8 </t>
  </si>
  <si>
    <t>0 - 4.5</t>
  </si>
  <si>
    <t xml:space="preserve">0.3 - 8.6 </t>
  </si>
  <si>
    <t xml:space="preserve">0 - 4.5 </t>
  </si>
  <si>
    <t xml:space="preserve">37.4 - 48.6 </t>
  </si>
  <si>
    <t xml:space="preserve">20.8 - 30.7 </t>
  </si>
  <si>
    <t xml:space="preserve">13.3 - 22.0 </t>
  </si>
  <si>
    <t xml:space="preserve">13.2 - 22.2 </t>
  </si>
  <si>
    <t xml:space="preserve">0.6 - 3.9 </t>
  </si>
  <si>
    <t>0.1 - 2.4</t>
  </si>
  <si>
    <t>0 - 1.9</t>
  </si>
  <si>
    <t xml:space="preserve">10.8 - 19.2 </t>
  </si>
  <si>
    <t xml:space="preserve">0.2 - 3.0 </t>
  </si>
  <si>
    <t xml:space="preserve">11.6 - 23.9 </t>
  </si>
  <si>
    <t xml:space="preserve">6.4 - 16.7 </t>
  </si>
  <si>
    <t>0.2 - 4.5</t>
  </si>
  <si>
    <t>0 - 2.3</t>
  </si>
  <si>
    <t xml:space="preserve">3.1 - 11.3 </t>
  </si>
  <si>
    <t xml:space="preserve">0 - 2.3 </t>
  </si>
  <si>
    <t xml:space="preserve">3.9 - 9.7 </t>
  </si>
  <si>
    <t xml:space="preserve">4.2 - 10.3 </t>
  </si>
  <si>
    <t>0.2 - 3.0</t>
  </si>
  <si>
    <t xml:space="preserve">1.0 - 4.8 </t>
  </si>
  <si>
    <t xml:space="preserve">39 - 49.6 </t>
  </si>
  <si>
    <t xml:space="preserve">28.9 - 39.1 </t>
  </si>
  <si>
    <t xml:space="preserve">7.4 - 14.0 </t>
  </si>
  <si>
    <t xml:space="preserve">0 - 1.1 </t>
  </si>
  <si>
    <t xml:space="preserve">33.7 - 58.1 </t>
  </si>
  <si>
    <t xml:space="preserve">28.5 - 52.4 </t>
  </si>
  <si>
    <t>0.4 - 9.9</t>
  </si>
  <si>
    <t>0 - 5.1</t>
  </si>
  <si>
    <t xml:space="preserve">0.9 - 12.0 </t>
  </si>
  <si>
    <t xml:space="preserve">0 - 7.7 </t>
  </si>
  <si>
    <t xml:space="preserve">0 - 5.1 </t>
  </si>
  <si>
    <t xml:space="preserve">49.1 - 59.3 </t>
  </si>
  <si>
    <t xml:space="preserve">41.7 - 52.0 </t>
  </si>
  <si>
    <t>12.0 - 19.6</t>
  </si>
  <si>
    <t>1.1 - 4.5</t>
  </si>
  <si>
    <t xml:space="preserve">4.5 - 9.9 </t>
  </si>
  <si>
    <t xml:space="preserve">0.1 - 1.9 </t>
  </si>
  <si>
    <t xml:space="preserve">0 - 1.0 </t>
  </si>
  <si>
    <t xml:space="preserve">29.9 - 41.0 </t>
  </si>
  <si>
    <t xml:space="preserve">17.1 - 26.8 </t>
  </si>
  <si>
    <t>0 - 1.2</t>
  </si>
  <si>
    <t xml:space="preserve">9.1 - 17.0 </t>
  </si>
  <si>
    <t xml:space="preserve">0.2 - 2.9 </t>
  </si>
  <si>
    <t xml:space="preserve">65.5 - 76.1 </t>
  </si>
  <si>
    <t xml:space="preserve">50.5 - 62.0 </t>
  </si>
  <si>
    <t xml:space="preserve">10.9 - 19.2 </t>
  </si>
  <si>
    <t xml:space="preserve">0 - 1.8 </t>
  </si>
  <si>
    <t xml:space="preserve">48.3 - 64.7 </t>
  </si>
  <si>
    <t xml:space="preserve">44.4 - 60.9 </t>
  </si>
  <si>
    <t>7.3 - 18.3</t>
  </si>
  <si>
    <t>0 - 2.4</t>
  </si>
  <si>
    <t xml:space="preserve">1.5 - 8.5 </t>
  </si>
  <si>
    <t xml:space="preserve">0 - 2.4 </t>
  </si>
  <si>
    <t xml:space="preserve">24 - 39.4 </t>
  </si>
  <si>
    <t xml:space="preserve">20.4 - 35.2 </t>
  </si>
  <si>
    <t>2.8 - 11.1</t>
  </si>
  <si>
    <t xml:space="preserve">1.1 - 7.6 </t>
  </si>
  <si>
    <t xml:space="preserve">0 - 3.7 </t>
  </si>
  <si>
    <t xml:space="preserve">15.5 - 28.4 </t>
  </si>
  <si>
    <t xml:space="preserve">13.9 - 26.5 </t>
  </si>
  <si>
    <t>0.4 - 5.1</t>
  </si>
  <si>
    <t>0 - 2.2</t>
  </si>
  <si>
    <t xml:space="preserve">0.4 - 5.1 </t>
  </si>
  <si>
    <t xml:space="preserve">0 - 2.2 </t>
  </si>
  <si>
    <t xml:space="preserve">20.5 - 32.8 </t>
  </si>
  <si>
    <t xml:space="preserve">18.3 - 30.3 </t>
  </si>
  <si>
    <t>0.3 - 4.1</t>
  </si>
  <si>
    <t>0 - 1.8</t>
  </si>
  <si>
    <t xml:space="preserve">0 - 2.6 </t>
  </si>
  <si>
    <t xml:space="preserve">0.5 - 4.8 </t>
  </si>
  <si>
    <t xml:space="preserve">0 - 1.7 </t>
  </si>
  <si>
    <t xml:space="preserve">10.6 - 18.8 </t>
  </si>
  <si>
    <t xml:space="preserve">4.9 - 11.3 </t>
  </si>
  <si>
    <t xml:space="preserve">4.1 - 10.1 </t>
  </si>
  <si>
    <t xml:space="preserve">41.3 - 52.7 </t>
  </si>
  <si>
    <t xml:space="preserve">25.3 - 35.9 </t>
  </si>
  <si>
    <t>4.0 - 9.8</t>
  </si>
  <si>
    <t xml:space="preserve">10.8 - 19.0 </t>
  </si>
  <si>
    <t xml:space="preserve">0.7 - 4.2 </t>
  </si>
  <si>
    <t xml:space="preserve">66.4 - 76.3 </t>
  </si>
  <si>
    <t xml:space="preserve">52 - 62.8 </t>
  </si>
  <si>
    <t>10.0 - 17.6</t>
  </si>
  <si>
    <t>0 - 1.1</t>
  </si>
  <si>
    <t xml:space="preserve">5.4 - 11.5 </t>
  </si>
  <si>
    <t xml:space="preserve">3.7 - 9.1 </t>
  </si>
  <si>
    <t xml:space="preserve">0.1 - 2.1 </t>
  </si>
  <si>
    <t xml:space="preserve">68.3 - 78.6 </t>
  </si>
  <si>
    <t xml:space="preserve">44.9 - 56.5 </t>
  </si>
  <si>
    <t>4.7 - 10.9</t>
  </si>
  <si>
    <t>0.7 - 4.3</t>
  </si>
  <si>
    <t xml:space="preserve">12.9 - 21.7 </t>
  </si>
  <si>
    <t xml:space="preserve">3.6 - 9.3 </t>
  </si>
  <si>
    <t xml:space="preserve">52.8 - 69.5 </t>
  </si>
  <si>
    <t xml:space="preserve">31.8 - 48.6 </t>
  </si>
  <si>
    <t>19.3 - 34.5</t>
  </si>
  <si>
    <t>0.8 - 7.2</t>
  </si>
  <si>
    <t xml:space="preserve">13.7 - 27.6 </t>
  </si>
  <si>
    <t xml:space="preserve">0.2 - 5.1 </t>
  </si>
  <si>
    <t xml:space="preserve">43.8 - 60.1 </t>
  </si>
  <si>
    <t xml:space="preserve">15.2 - 28.8 </t>
  </si>
  <si>
    <t>7.1 - 17.8</t>
  </si>
  <si>
    <t xml:space="preserve">23.4 - 38.4 </t>
  </si>
  <si>
    <t xml:space="preserve">77.8 - 85.4 </t>
  </si>
  <si>
    <t xml:space="preserve">59.3 - 68.8 </t>
  </si>
  <si>
    <t>12.6 - 19.9</t>
  </si>
  <si>
    <t>0 - 0.9</t>
  </si>
  <si>
    <t xml:space="preserve">10.6 - 17.5 </t>
  </si>
  <si>
    <t xml:space="preserve">2.2 - 6.2 </t>
  </si>
  <si>
    <t xml:space="preserve">1.6 - 6.0 </t>
  </si>
  <si>
    <t xml:space="preserve">0.1 - 2.4 </t>
  </si>
  <si>
    <t xml:space="preserve">1.2 - 5.2 </t>
  </si>
  <si>
    <t xml:space="preserve">31.5 - 42.9 </t>
  </si>
  <si>
    <t xml:space="preserve">18.7 - 28.7 </t>
  </si>
  <si>
    <t>6.4 - 13.5</t>
  </si>
  <si>
    <t xml:space="preserve">9.9 - 18.1 </t>
  </si>
  <si>
    <t xml:space="preserve">39.8 - 42.0 </t>
  </si>
  <si>
    <t xml:space="preserve">29.7 - 31.8 </t>
  </si>
  <si>
    <t>8.6 - 10.3</t>
  </si>
  <si>
    <t xml:space="preserve">8.4 - 9.7 </t>
  </si>
  <si>
    <t xml:space="preserve">0.8 - 1.3 </t>
  </si>
  <si>
    <t xml:space="preserve">0 - 0.1 </t>
  </si>
  <si>
    <t xml:space="preserve">0.2 - 5.0 </t>
  </si>
  <si>
    <t>0 - 2.6</t>
  </si>
  <si>
    <t xml:space="preserve">0 - 2.5 </t>
  </si>
  <si>
    <t xml:space="preserve">15.4 - 24.2 </t>
  </si>
  <si>
    <t xml:space="preserve">0.7 - 3.9 </t>
  </si>
  <si>
    <t xml:space="preserve">13.8 - 22.3 </t>
  </si>
  <si>
    <t xml:space="preserve">3.8 - 9.5 </t>
  </si>
  <si>
    <t xml:space="preserve">2.0 - 6.7 </t>
  </si>
  <si>
    <t>8.9 - 13.4</t>
  </si>
  <si>
    <t>1.6 - 3.9</t>
  </si>
  <si>
    <t>0 - 0.8</t>
  </si>
  <si>
    <t>6.5 - 10.5</t>
  </si>
  <si>
    <t>0 - 0.7</t>
  </si>
  <si>
    <t>0 - 0.5</t>
  </si>
  <si>
    <t>37.0 - 39.1</t>
  </si>
  <si>
    <t>27.1 - 29.1</t>
  </si>
  <si>
    <t>7.9 - 9.4</t>
  </si>
  <si>
    <t>0.3 - 0.7</t>
  </si>
  <si>
    <t>8.4 - 9.6</t>
  </si>
  <si>
    <t>0 - 0.1</t>
  </si>
  <si>
    <t xml:space="preserve">22.7 - 33.6 </t>
  </si>
  <si>
    <t xml:space="preserve">19.0 - 29.4 </t>
  </si>
  <si>
    <t xml:space="preserve">2.0 - 7.0 </t>
  </si>
  <si>
    <t xml:space="preserve">59.8 - 70.7 </t>
  </si>
  <si>
    <t xml:space="preserve">54.6 - 65.7 </t>
  </si>
  <si>
    <t xml:space="preserve">3.0 - 8.2 </t>
  </si>
  <si>
    <t xml:space="preserve">23.2 - 33.8 </t>
  </si>
  <si>
    <t xml:space="preserve">20.1 - 30.2 </t>
  </si>
  <si>
    <t>0.6 - 3.9</t>
  </si>
  <si>
    <t xml:space="preserve">1.4 - 5.7 </t>
  </si>
  <si>
    <t xml:space="preserve">2.3 - 7.1 </t>
  </si>
  <si>
    <t xml:space="preserve">0.1 - 2.3 </t>
  </si>
  <si>
    <t xml:space="preserve">1.8 - 6.3 </t>
  </si>
  <si>
    <t xml:space="preserve">10.7 - 19.3 </t>
  </si>
  <si>
    <t xml:space="preserve">5.3 - 12.1 </t>
  </si>
  <si>
    <t>0.2 - 3.1</t>
  </si>
  <si>
    <t xml:space="preserve">3.9 - 10.0 </t>
  </si>
  <si>
    <t xml:space="preserve">60.2 - 70.5 </t>
  </si>
  <si>
    <t xml:space="preserve">59.3 - 69.7 </t>
  </si>
  <si>
    <t xml:space="preserve">0.2 - 2.5 </t>
  </si>
  <si>
    <t xml:space="preserve">0 - 1.6 </t>
  </si>
  <si>
    <t xml:space="preserve">84.6 - 92 </t>
  </si>
  <si>
    <t xml:space="preserve">80.1 - 88.6 </t>
  </si>
  <si>
    <t xml:space="preserve">2.1 - 6.9 </t>
  </si>
  <si>
    <t xml:space="preserve">26.7 - 37.5 </t>
  </si>
  <si>
    <t xml:space="preserve">24.9 - 35.4 </t>
  </si>
  <si>
    <t xml:space="preserve">48.6 - 59.7 </t>
  </si>
  <si>
    <t xml:space="preserve">43.1 - 54.2 </t>
  </si>
  <si>
    <t>3.8 - 9.3</t>
  </si>
  <si>
    <t xml:space="preserve">1.5 - 5.6 </t>
  </si>
  <si>
    <t xml:space="preserve">1.1 - 4.8 </t>
  </si>
  <si>
    <t xml:space="preserve">19.1 - 29.3 </t>
  </si>
  <si>
    <t xml:space="preserve">16.5 - 26.3 </t>
  </si>
  <si>
    <t>2.0 - 6.8</t>
  </si>
  <si>
    <t>0.1 - 2.5</t>
  </si>
  <si>
    <t xml:space="preserve">0.4 - 3.6 </t>
  </si>
  <si>
    <t xml:space="preserve">38.9 - 49 </t>
  </si>
  <si>
    <t xml:space="preserve">29.8 - 39.4 </t>
  </si>
  <si>
    <t>15.5 - 23.5</t>
  </si>
  <si>
    <t>0 - 1.4</t>
  </si>
  <si>
    <t xml:space="preserve">4.1 - 9.2 </t>
  </si>
  <si>
    <t xml:space="preserve">1.6 - 5.3 </t>
  </si>
  <si>
    <t xml:space="preserve">0 - 0.9 </t>
  </si>
  <si>
    <t xml:space="preserve">0 - 23.2 </t>
  </si>
  <si>
    <t>0 - 23.2</t>
  </si>
  <si>
    <t>41.4 - 43.1</t>
  </si>
  <si>
    <t xml:space="preserve">35.4 - 38.7 </t>
  </si>
  <si>
    <t>5.1 - 7.3</t>
  </si>
  <si>
    <t xml:space="preserve">3.0 - 4.3 </t>
  </si>
  <si>
    <t xml:space="preserve">0.5 - 1.1 </t>
  </si>
  <si>
    <t xml:space="preserve">0 - 0.3 </t>
  </si>
  <si>
    <t xml:space="preserve">26.5 - 37.2 </t>
  </si>
  <si>
    <t xml:space="preserve">12.1 - 20.6 </t>
  </si>
  <si>
    <t>0.7 - 4.2</t>
  </si>
  <si>
    <t xml:space="preserve">10.1 - 18.1 </t>
  </si>
  <si>
    <t>Total (1 non-MSs)</t>
  </si>
  <si>
    <t>Total (13 MSs and non-MSs)</t>
  </si>
  <si>
    <t>39.0 - 42.2</t>
  </si>
  <si>
    <t>33.8 - 36.9</t>
  </si>
  <si>
    <t>4.6 - 6.6</t>
  </si>
  <si>
    <t>0 - 0.4</t>
  </si>
  <si>
    <t>3.8 - 5.2</t>
  </si>
  <si>
    <t>0.6 - 1.2</t>
  </si>
  <si>
    <t>0 - 0.2</t>
  </si>
  <si>
    <t>16.3 - 25.6</t>
  </si>
  <si>
    <t xml:space="preserve">  -</t>
  </si>
  <si>
    <t>27.3 - 38.0</t>
  </si>
  <si>
    <t>26.7 - 37.3</t>
  </si>
  <si>
    <t>0.1 - 2.3</t>
  </si>
  <si>
    <t>38.0 - 54.3</t>
  </si>
  <si>
    <t>28.6 - 44.4</t>
  </si>
  <si>
    <t>1.1 - 7.5</t>
  </si>
  <si>
    <t>5.1 - 15.0</t>
  </si>
  <si>
    <t>0.0 - 3.6</t>
  </si>
  <si>
    <t>9.7 - 21.9</t>
  </si>
  <si>
    <t>6.4 - 17.2</t>
  </si>
  <si>
    <t>2.0 - 9.6</t>
  </si>
  <si>
    <t>1.5 - 8.7</t>
  </si>
  <si>
    <t>18.4 - 33.0</t>
  </si>
  <si>
    <t>17.2 - 31.5</t>
  </si>
  <si>
    <t>2.8 - 11.3</t>
  </si>
  <si>
    <t>23.4 - 34.0</t>
  </si>
  <si>
    <t>15.9 - 25.4</t>
  </si>
  <si>
    <t>5.3 - 11.9</t>
  </si>
  <si>
    <t>4.1 - 10.1</t>
  </si>
  <si>
    <t>0.4 - 3.4</t>
  </si>
  <si>
    <t>0.5 - 3.8</t>
  </si>
  <si>
    <t>45.0 - 61.5</t>
  </si>
  <si>
    <t>32.1 - 48.3</t>
  </si>
  <si>
    <t>0.0 - 1.9</t>
  </si>
  <si>
    <t>13.2 - 22.9</t>
  </si>
  <si>
    <t>11.5 - 20.7</t>
  </si>
  <si>
    <t>0.6 - 4.5</t>
  </si>
  <si>
    <t>33.1 - 42.9</t>
  </si>
  <si>
    <t>31.6 - 41.3</t>
  </si>
  <si>
    <t>0.6 - 3.3</t>
  </si>
  <si>
    <t>43.6 - 64.8</t>
  </si>
  <si>
    <t>39.4 - 60.6</t>
  </si>
  <si>
    <t>4.6 - 17.8</t>
  </si>
  <si>
    <t>1.2 - 10.8</t>
  </si>
  <si>
    <t>53.3 - 64.1</t>
  </si>
  <si>
    <t>42.0 - 53.0</t>
  </si>
  <si>
    <t>18.0 - 27.2</t>
  </si>
  <si>
    <t>2.1 - 6.5</t>
  </si>
  <si>
    <t>7.1 - 13.9</t>
  </si>
  <si>
    <t>0.3 - 3.0</t>
  </si>
  <si>
    <t>12.9 - 21.7</t>
  </si>
  <si>
    <t>25.7 - 36.5</t>
  </si>
  <si>
    <t>15.3 - 24.5</t>
  </si>
  <si>
    <t>8.0 - 15.4</t>
  </si>
  <si>
    <t>30.8 - 46.8</t>
  </si>
  <si>
    <t>24.7 - 40.0</t>
  </si>
  <si>
    <t>6.1 - 16.4</t>
  </si>
  <si>
    <t>3.2 - 11.7</t>
  </si>
  <si>
    <t>51.7 - 67.9</t>
  </si>
  <si>
    <t>11.7 - 24.4</t>
  </si>
  <si>
    <t>1.9 - 9.4</t>
  </si>
  <si>
    <t>1.1 - 7.6</t>
  </si>
  <si>
    <t>17.6 - 34.2</t>
  </si>
  <si>
    <t>16.8 - 33.2</t>
  </si>
  <si>
    <t>0.0 - 3.2</t>
  </si>
  <si>
    <t>0.5 - 7.4</t>
  </si>
  <si>
    <t>0.0 - 4.8</t>
  </si>
  <si>
    <t>14.6 - 27.9</t>
  </si>
  <si>
    <t>9.1 - 20.7</t>
  </si>
  <si>
    <t>1.8 - 9.1</t>
  </si>
  <si>
    <t>0.2 - 4.6</t>
  </si>
  <si>
    <t>0.4 - 5.6</t>
  </si>
  <si>
    <t>15.8 - 23.8</t>
  </si>
  <si>
    <t>19.8 - 29.6</t>
  </si>
  <si>
    <t>11.2 - 19.3</t>
  </si>
  <si>
    <t>1.8 - 6.2</t>
  </si>
  <si>
    <t>4.7 - 10.8</t>
  </si>
  <si>
    <t>44.4 - 56.7</t>
  </si>
  <si>
    <t>31.7 - 43.6</t>
  </si>
  <si>
    <t>1.3 - 5.8</t>
  </si>
  <si>
    <t>0.0 - 2.0</t>
  </si>
  <si>
    <t>5.5 - 12.6</t>
  </si>
  <si>
    <t>2.3 - 7.7</t>
  </si>
  <si>
    <t>39.5 - 51.0</t>
  </si>
  <si>
    <t>24.3 - 34.9</t>
  </si>
  <si>
    <t>3.3 - 8.8</t>
  </si>
  <si>
    <t>9.9 - 17.9</t>
  </si>
  <si>
    <t>0.9 - 4.7</t>
  </si>
  <si>
    <t>39.1 - 55.6</t>
  </si>
  <si>
    <t>22.2 - 37.3</t>
  </si>
  <si>
    <t>12.2 - 25.1</t>
  </si>
  <si>
    <t>19.4 - 33.9</t>
  </si>
  <si>
    <t>9.2 - 21.0</t>
  </si>
  <si>
    <t>7.1 - 18.0</t>
  </si>
  <si>
    <t>45.2 - 56.8</t>
  </si>
  <si>
    <t>32.8 - 44.1</t>
  </si>
  <si>
    <t>5.7 - 12.4</t>
  </si>
  <si>
    <t>2.1 - 6.9</t>
  </si>
  <si>
    <t>1.8 - 6.5</t>
  </si>
  <si>
    <t>United Kingdom (Northern Ireland)*</t>
  </si>
  <si>
    <t>5.5 - 12.1</t>
  </si>
  <si>
    <t>2.3 - 7.3</t>
  </si>
  <si>
    <t>28.4 - 30.5</t>
  </si>
  <si>
    <t>22.2- 24.2</t>
  </si>
  <si>
    <t>5.6 - 7.2</t>
  </si>
  <si>
    <t>0.4 - 1.0</t>
  </si>
  <si>
    <t>4.9 - 6.0</t>
  </si>
  <si>
    <t>0.7 - 1.1</t>
  </si>
  <si>
    <t>0.0 - 2.7</t>
  </si>
  <si>
    <t>0.0 - 60.2</t>
  </si>
  <si>
    <t>19.5 - 29.4</t>
  </si>
  <si>
    <t>16.6 - 25.9</t>
  </si>
  <si>
    <t>0.2 - 2.8</t>
  </si>
  <si>
    <t>1.3 - 5.4</t>
  </si>
  <si>
    <t>Total non-MS (4 non-MSs)</t>
  </si>
  <si>
    <t xml:space="preserve"> 7.9 - 12.2 </t>
  </si>
  <si>
    <t>6.6 - 10.7</t>
  </si>
  <si>
    <t>0.1 - 1.9</t>
  </si>
  <si>
    <t>0.6 - 3.2</t>
  </si>
  <si>
    <t>Total (32 MSs and non-MSs)</t>
  </si>
  <si>
    <t>26.2 - 28.2</t>
  </si>
  <si>
    <t>20.6 - 22.4</t>
  </si>
  <si>
    <t>5.1 - 6.5</t>
  </si>
  <si>
    <t>0.5 - 1.1</t>
  </si>
  <si>
    <t>4.5- 5.5</t>
  </si>
  <si>
    <t>0.6 - 1.0</t>
  </si>
  <si>
    <t>29.3 - 44.1</t>
  </si>
  <si>
    <t>22.8 - 36.9</t>
  </si>
  <si>
    <t>3.6 - 11.8</t>
  </si>
  <si>
    <t>0.0 - 2.1</t>
  </si>
  <si>
    <t>12.3 - 24.9</t>
  </si>
  <si>
    <t>9.6 - 21.3</t>
  </si>
  <si>
    <t>1.1 - 7.3</t>
  </si>
  <si>
    <t>9.5 - 21.5</t>
  </si>
  <si>
    <t>8.9 - 20.7</t>
  </si>
  <si>
    <t>4.2 - 13.7</t>
  </si>
  <si>
    <t>7.4 - 20.3</t>
  </si>
  <si>
    <t>1.4 - 9.7</t>
  </si>
  <si>
    <t>0.0 - 3.1</t>
  </si>
  <si>
    <t>8.4 - 19.6</t>
  </si>
  <si>
    <t>27.1 - 43.7</t>
  </si>
  <si>
    <t>19.8 - 35.3</t>
  </si>
  <si>
    <t>0.5 - 6.3</t>
  </si>
  <si>
    <t>1.6 - 9.3</t>
  </si>
  <si>
    <t>1.2 - 8.3</t>
  </si>
  <si>
    <t>22.7 - 38.3</t>
  </si>
  <si>
    <t>18.3 - 33.1</t>
  </si>
  <si>
    <t>2.9 - 11.6</t>
  </si>
  <si>
    <t>0.0 - 2.6</t>
  </si>
  <si>
    <t>0.4 - 6.0</t>
  </si>
  <si>
    <t>0.8 - 7.0</t>
  </si>
  <si>
    <t>6.1 - 13.7</t>
  </si>
  <si>
    <t>5.2 - 12.3</t>
  </si>
  <si>
    <t>0.1 - 2.8</t>
  </si>
  <si>
    <t>0.2 - 3.4</t>
  </si>
  <si>
    <t>24.5 - 34.2</t>
  </si>
  <si>
    <t>20.5 - 29.8</t>
  </si>
  <si>
    <t>2.4 - 6.9</t>
  </si>
  <si>
    <t>25.0 - 55.6</t>
  </si>
  <si>
    <t>21.0 - 50.9</t>
  </si>
  <si>
    <t>1.5 - 19.1</t>
  </si>
  <si>
    <t>0.0 - 8.2</t>
  </si>
  <si>
    <t>0.1 - 12.3</t>
  </si>
  <si>
    <t>15.4 - 27.8</t>
  </si>
  <si>
    <t>13.5 - 25.4</t>
  </si>
  <si>
    <t>2.3 - 9.3</t>
  </si>
  <si>
    <t>0.6 - 5.6</t>
  </si>
  <si>
    <t>12.8 - 25.8</t>
  </si>
  <si>
    <t>11.1 - 23.6</t>
  </si>
  <si>
    <t>2.3 - 10.2</t>
  </si>
  <si>
    <t>0.4 - 5.7</t>
  </si>
  <si>
    <t>18.1 - 27.7</t>
  </si>
  <si>
    <t>16.9 - 26.3</t>
  </si>
  <si>
    <t>0.4 - 3.3</t>
  </si>
  <si>
    <t>17.3 - 31.7</t>
  </si>
  <si>
    <t>15.5 - 29.5</t>
  </si>
  <si>
    <t>2.9 - 11.4</t>
  </si>
  <si>
    <t>0.4 - 5.9</t>
  </si>
  <si>
    <t>13.9 - 27.3</t>
  </si>
  <si>
    <t>9.4 - 21.4</t>
  </si>
  <si>
    <t>4.0 - 25.6</t>
  </si>
  <si>
    <t>2.7 - 22.6</t>
  </si>
  <si>
    <t>0.0 - 8.4</t>
  </si>
  <si>
    <t>0.1 - 12.6</t>
  </si>
  <si>
    <t>6.7 - 17.5</t>
  </si>
  <si>
    <t>Netherland*</t>
  </si>
  <si>
    <t>3.1 - 36.3</t>
  </si>
  <si>
    <t>0.0 - 16.1</t>
  </si>
  <si>
    <t>15.2 - 24.2</t>
  </si>
  <si>
    <t>13.4 - 22.1</t>
  </si>
  <si>
    <t>39.0 - 51.6</t>
  </si>
  <si>
    <t>33.6 - 46.0</t>
  </si>
  <si>
    <t>1.7 - 6.7</t>
  </si>
  <si>
    <t>1.1 - 5.6</t>
  </si>
  <si>
    <t>0.0 - 1.5</t>
  </si>
  <si>
    <t>18.9 - 33.5</t>
  </si>
  <si>
    <t>16.5 - 30.6</t>
  </si>
  <si>
    <t>0.4 - 5.8</t>
  </si>
  <si>
    <t>31.5 - 47.6</t>
  </si>
  <si>
    <t>22.8 - 38.0</t>
  </si>
  <si>
    <t>6.2 - 16.7</t>
  </si>
  <si>
    <t>5.2 - 15.2</t>
  </si>
  <si>
    <t>27.1 - 42.8</t>
  </si>
  <si>
    <t>1.9 - 9.2</t>
  </si>
  <si>
    <t>12.0 - 20.7</t>
  </si>
  <si>
    <t>8.3 - 15.9</t>
  </si>
  <si>
    <t>Total (27 MSs)</t>
  </si>
  <si>
    <t>22.5 - 25.0</t>
  </si>
  <si>
    <t>19.4 - 21.8</t>
  </si>
  <si>
    <t>2.8 - 4.1</t>
  </si>
  <si>
    <t>0.2 - 0.6</t>
  </si>
  <si>
    <t>2.0 - 2.9</t>
  </si>
  <si>
    <t>0.5 - 1.0</t>
  </si>
  <si>
    <t>Norway *</t>
  </si>
  <si>
    <t>32.4 - 48.0</t>
  </si>
  <si>
    <t>20.2 - 34.5</t>
  </si>
  <si>
    <t>1.8 - 8.8</t>
  </si>
  <si>
    <t>5.8 - 15.7</t>
  </si>
  <si>
    <t>1.0 - 7.1</t>
  </si>
  <si>
    <t>18.9 - 29.3</t>
  </si>
  <si>
    <t>11.6 - 20.6</t>
  </si>
  <si>
    <t>3.7 - 9.8</t>
  </si>
  <si>
    <t>0.6 - 4.2</t>
  </si>
  <si>
    <t>Total (29 MSs and non-MSs)</t>
  </si>
  <si>
    <t>22.3 - 24.7</t>
  </si>
  <si>
    <t>19.0 - 21.3</t>
  </si>
  <si>
    <t>2.9 - 4.1</t>
  </si>
  <si>
    <t>2.2 - 3.1</t>
  </si>
  <si>
    <t xml:space="preserve">2.6 - 7.6 </t>
  </si>
  <si>
    <t xml:space="preserve">2.4 - 7.2 </t>
  </si>
  <si>
    <t xml:space="preserve">0.7 - 4.1 </t>
  </si>
  <si>
    <t xml:space="preserve">0.4 - 3.2 </t>
  </si>
  <si>
    <t xml:space="preserve">4.6 - 14.8 </t>
  </si>
  <si>
    <t xml:space="preserve">3.6 - 13.0 </t>
  </si>
  <si>
    <t>2.1 - 10.2</t>
  </si>
  <si>
    <t>0 - 2.7</t>
  </si>
  <si>
    <t xml:space="preserve">0 - 2.7 </t>
  </si>
  <si>
    <t xml:space="preserve">0.2 - 5.2 </t>
  </si>
  <si>
    <t xml:space="preserve">2.3 - 13.0 </t>
  </si>
  <si>
    <t>0 - 3.7</t>
  </si>
  <si>
    <t xml:space="preserve">5.8 - 12.6 </t>
  </si>
  <si>
    <t xml:space="preserve">3.4 - 9.0 </t>
  </si>
  <si>
    <t xml:space="preserve">2.4 - 7.3 </t>
  </si>
  <si>
    <t xml:space="preserve">1.3 - 5.3 </t>
  </si>
  <si>
    <t xml:space="preserve">0.3 - 3.2 </t>
  </si>
  <si>
    <t xml:space="preserve">3.2 - 11.9 </t>
  </si>
  <si>
    <t xml:space="preserve">2.3 - 10.2 </t>
  </si>
  <si>
    <t>0.7 - 6.7</t>
  </si>
  <si>
    <t xml:space="preserve">0.2 - 4.7 </t>
  </si>
  <si>
    <t xml:space="preserve">1.7 - 5.5 </t>
  </si>
  <si>
    <t xml:space="preserve">1.5 - 5.1 </t>
  </si>
  <si>
    <t xml:space="preserve">0 - 1.5 </t>
  </si>
  <si>
    <t xml:space="preserve">0 - 1 </t>
  </si>
  <si>
    <t xml:space="preserve">0 - 8.2 </t>
  </si>
  <si>
    <t>0 - 5.4</t>
  </si>
  <si>
    <t xml:space="preserve">0 - 5.4 </t>
  </si>
  <si>
    <t xml:space="preserve">5.2 - 11.3 </t>
  </si>
  <si>
    <t xml:space="preserve">4.5 - 10.3 </t>
  </si>
  <si>
    <t>0.7 - 3.9</t>
  </si>
  <si>
    <t xml:space="preserve">0.2 - 2.6 </t>
  </si>
  <si>
    <t xml:space="preserve">1.4 - 5.6 </t>
  </si>
  <si>
    <t xml:space="preserve">3.1 - 8.5 </t>
  </si>
  <si>
    <t xml:space="preserve">7.8 - 19.1 </t>
  </si>
  <si>
    <t xml:space="preserve">6.2 - 16.7 </t>
  </si>
  <si>
    <t>0 - 2-4</t>
  </si>
  <si>
    <t xml:space="preserve">0.4 - 5.7 </t>
  </si>
  <si>
    <t xml:space="preserve">2.3 - 15.3 </t>
  </si>
  <si>
    <t xml:space="preserve">0.9 - 11.5 </t>
  </si>
  <si>
    <t>0 - 4.9</t>
  </si>
  <si>
    <t xml:space="preserve">0.3 - 9.5 </t>
  </si>
  <si>
    <t xml:space="preserve">0 - 4.9 </t>
  </si>
  <si>
    <t xml:space="preserve">0.7 - 6.7 </t>
  </si>
  <si>
    <t xml:space="preserve">3.5 - 9.0 </t>
  </si>
  <si>
    <t xml:space="preserve">0.5 - 3.7 </t>
  </si>
  <si>
    <t xml:space="preserve">11 - 20.2 </t>
  </si>
  <si>
    <t xml:space="preserve">8.7 - 17.1 </t>
  </si>
  <si>
    <t>1.4 - 6.0</t>
  </si>
  <si>
    <t xml:space="preserve">0.1 - 2.8 </t>
  </si>
  <si>
    <t xml:space="preserve">0.6 - 4.5 </t>
  </si>
  <si>
    <t xml:space="preserve">0 - 1.4 </t>
  </si>
  <si>
    <t xml:space="preserve">4.2 - 10.1 </t>
  </si>
  <si>
    <t xml:space="preserve">3.2 - 8.6 </t>
  </si>
  <si>
    <t xml:space="preserve">15.2 - 28.9 </t>
  </si>
  <si>
    <t xml:space="preserve">10.6 - 23.0 </t>
  </si>
  <si>
    <t>0 - 2.5</t>
  </si>
  <si>
    <t xml:space="preserve">2.3 - 10.3 </t>
  </si>
  <si>
    <t xml:space="preserve">9.8 - 21.7 </t>
  </si>
  <si>
    <t xml:space="preserve">2.3 - 10.0 </t>
  </si>
  <si>
    <t>0.7 - 4.4</t>
  </si>
  <si>
    <t xml:space="preserve">5.6 - 15.7 </t>
  </si>
  <si>
    <t xml:space="preserve">3.9 - 9.8 </t>
  </si>
  <si>
    <t xml:space="preserve">2.6 - 7.8 </t>
  </si>
  <si>
    <t xml:space="preserve">0.6 - 8.9 </t>
  </si>
  <si>
    <t xml:space="preserve">0 - 3.8 </t>
  </si>
  <si>
    <t xml:space="preserve">4.9 - 6.0 </t>
  </si>
  <si>
    <t xml:space="preserve">3.6 - 4.6 </t>
  </si>
  <si>
    <t>1.0 - 1.8</t>
  </si>
  <si>
    <t xml:space="preserve">0.9 - 1.5 </t>
  </si>
  <si>
    <t xml:space="preserve">0.2 - 0.3 </t>
  </si>
  <si>
    <t xml:space="preserve">0.2 - 2.8 </t>
  </si>
  <si>
    <t>0.5 - 2.4</t>
  </si>
  <si>
    <t>0 - 0.6</t>
  </si>
  <si>
    <t>Total (30 MSs and non-MSs)</t>
  </si>
  <si>
    <t>4.6 - 5.6</t>
  </si>
  <si>
    <t>3.3 - 4.2</t>
  </si>
  <si>
    <t>1.0 - 1.6</t>
  </si>
  <si>
    <t>1.0 - 1.5</t>
  </si>
  <si>
    <t>0.1 - 0.3</t>
  </si>
  <si>
    <t>1.1 - 4.9</t>
  </si>
  <si>
    <t>1.5 - 5.8</t>
  </si>
  <si>
    <t>2.0 - 9.9</t>
  </si>
  <si>
    <t xml:space="preserve"> 0 - 3.9 </t>
  </si>
  <si>
    <t xml:space="preserve"> 0 - 2.6 </t>
  </si>
  <si>
    <t>0.7 - 9.1</t>
  </si>
  <si>
    <t>0 - 3.9</t>
  </si>
  <si>
    <t xml:space="preserve"> 0 - 2.4 </t>
  </si>
  <si>
    <t>6.6 - 13.6</t>
  </si>
  <si>
    <t>5.8 - 12.5</t>
  </si>
  <si>
    <t xml:space="preserve"> 0.1 - 2.3 </t>
  </si>
  <si>
    <t xml:space="preserve"> 0 - 1.2 </t>
  </si>
  <si>
    <t xml:space="preserve"> 0 - 3.7 </t>
  </si>
  <si>
    <t>0.5 - 3.2</t>
  </si>
  <si>
    <t>0 - 1.0</t>
  </si>
  <si>
    <t>0 - 7.8</t>
  </si>
  <si>
    <t xml:space="preserve"> 0 - 5.2 </t>
  </si>
  <si>
    <t>0 - 5.2</t>
  </si>
  <si>
    <t>18.5 - 32.2</t>
  </si>
  <si>
    <t>17.9 - 31.5</t>
  </si>
  <si>
    <t xml:space="preserve"> 4.7 - 13.8 </t>
  </si>
  <si>
    <t xml:space="preserve"> 0 - 2.2 </t>
  </si>
  <si>
    <t>0 - 3.3</t>
  </si>
  <si>
    <t>6.8 - 13.9</t>
  </si>
  <si>
    <t>6.6 - 13.5</t>
  </si>
  <si>
    <t xml:space="preserve"> 0.4 - 5.7 </t>
  </si>
  <si>
    <t>3.1 - 8.5</t>
  </si>
  <si>
    <t xml:space="preserve"> 0.1 - 2.4 </t>
  </si>
  <si>
    <t>1.2 - 10.3</t>
  </si>
  <si>
    <t>0.3 - 7.3</t>
  </si>
  <si>
    <t xml:space="preserve"> 0 - 3.8 </t>
  </si>
  <si>
    <t>0 - 3.8</t>
  </si>
  <si>
    <t>0 - 2.0</t>
  </si>
  <si>
    <t>1.8 - 6.3</t>
  </si>
  <si>
    <t>8.0 - 15.9</t>
  </si>
  <si>
    <t>5.9 - 13.0</t>
  </si>
  <si>
    <t xml:space="preserve"> 0.6 - 4.2 </t>
  </si>
  <si>
    <t xml:space="preserve"> 0 - 1.3 </t>
  </si>
  <si>
    <t>0.4 - 3.7</t>
  </si>
  <si>
    <t>5.1 - 11.6</t>
  </si>
  <si>
    <t>4.9 - 11.2</t>
  </si>
  <si>
    <t xml:space="preserve"> 0 - 1.8 </t>
  </si>
  <si>
    <t>4.6 - 14.1</t>
  </si>
  <si>
    <t>1.5 - 8.3</t>
  </si>
  <si>
    <t xml:space="preserve"> 0.4 - 5.6 </t>
  </si>
  <si>
    <t>1.9 - 6.5</t>
  </si>
  <si>
    <t>1.4 - 5.7</t>
  </si>
  <si>
    <t xml:space="preserve"> 0 - 1.9 </t>
  </si>
  <si>
    <t>0.3 - 7.2</t>
  </si>
  <si>
    <t xml:space="preserve">Total (28 MSs) </t>
  </si>
  <si>
    <t>3.9 - 5.0</t>
  </si>
  <si>
    <t>3.4 - 4.4</t>
  </si>
  <si>
    <t xml:space="preserve"> 0.6 - 1.2 </t>
  </si>
  <si>
    <t xml:space="preserve"> 0 - 0.1 </t>
  </si>
  <si>
    <t>0.1 - 2.0</t>
  </si>
  <si>
    <t xml:space="preserve"> 0 - 1.0 </t>
  </si>
  <si>
    <t>3.6 - 4.5</t>
  </si>
  <si>
    <t>3.1 - 4.0</t>
  </si>
  <si>
    <t>0.3 - 0.6</t>
  </si>
  <si>
    <t xml:space="preserve">Hungary </t>
  </si>
  <si>
    <t>Total (28 MSs )</t>
  </si>
  <si>
    <t>*Countries using WGS to identify ESBL-, AmpC- and/or CP-encoding genes</t>
  </si>
  <si>
    <t>Total (11MSs)</t>
  </si>
  <si>
    <t>Total MSs and non-MSs</t>
  </si>
  <si>
    <t>Total (27 MSs + XI)</t>
  </si>
  <si>
    <t xml:space="preserve">Austria*  </t>
  </si>
  <si>
    <t xml:space="preserve">Belgium*  </t>
  </si>
  <si>
    <t xml:space="preserve">Bulgaria  </t>
  </si>
  <si>
    <t xml:space="preserve">Croatia  </t>
  </si>
  <si>
    <t xml:space="preserve">Czechia*  </t>
  </si>
  <si>
    <t xml:space="preserve">Denmark  </t>
  </si>
  <si>
    <t xml:space="preserve">Estonia  </t>
  </si>
  <si>
    <t xml:space="preserve">France  </t>
  </si>
  <si>
    <t xml:space="preserve">Germany*  </t>
  </si>
  <si>
    <t xml:space="preserve">Greece  </t>
  </si>
  <si>
    <t xml:space="preserve">Hungary  </t>
  </si>
  <si>
    <t xml:space="preserve">Ireland  </t>
  </si>
  <si>
    <t xml:space="preserve">Italy*  </t>
  </si>
  <si>
    <t xml:space="preserve">Latvia  </t>
  </si>
  <si>
    <t xml:space="preserve">Lithuania  </t>
  </si>
  <si>
    <t xml:space="preserve">Luxembourg  </t>
  </si>
  <si>
    <t xml:space="preserve">Malta  </t>
  </si>
  <si>
    <t xml:space="preserve">Poland  </t>
  </si>
  <si>
    <t xml:space="preserve">Portugal  </t>
  </si>
  <si>
    <t xml:space="preserve">Romania  </t>
  </si>
  <si>
    <t xml:space="preserve">Slovakia  </t>
  </si>
  <si>
    <t xml:space="preserve">Slovenia  </t>
  </si>
  <si>
    <t xml:space="preserve">Spain  </t>
  </si>
  <si>
    <t>Total (25 MSs)</t>
  </si>
  <si>
    <t>Total MSs and non-MSs (27 MSs)</t>
  </si>
  <si>
    <t>Total (24 MSs + XI)</t>
  </si>
  <si>
    <t>Total (26 MSs and non-MSs)</t>
  </si>
  <si>
    <t>Total (25 MSs + XI)</t>
  </si>
  <si>
    <t>Broilers, 2024</t>
  </si>
  <si>
    <t>Broiler meat at retail, 2024</t>
  </si>
  <si>
    <t>Turkeys, 2024</t>
  </si>
  <si>
    <t>Turkey meat at retail, 2024</t>
  </si>
  <si>
    <t>Pigs, 2023</t>
  </si>
  <si>
    <t>Pig meat at retail, 2023</t>
  </si>
  <si>
    <t>Calves, 2023</t>
  </si>
  <si>
    <t>Bovine meat at retail, 2023</t>
  </si>
  <si>
    <t>nCP</t>
  </si>
  <si>
    <t>Netherlands *</t>
  </si>
  <si>
    <t>Total (4 non-MSs)</t>
  </si>
  <si>
    <t>Total ( 32 MSs and non-MSs)</t>
  </si>
  <si>
    <t xml:space="preserve">Number of isolates tested through  CP-monitoring </t>
  </si>
  <si>
    <t>Total of number of presumptive CP-producers</t>
  </si>
  <si>
    <t>Information regarding the origin of the meat samples collected at BCPs can be found in the respective country datasets available on Zenodo</t>
  </si>
  <si>
    <t>&lt;0,1</t>
  </si>
  <si>
    <t>0,6 - 2,4</t>
  </si>
  <si>
    <t xml:space="preserve">*Countries using WGS to identify ESBL-, AmpC- and/or CP-encoding genes:
-Netherlands 2024 – broilers
-Italy 2023 – calves
-Italy 2023 – pigs
-Czechia 2023 – pigs
</t>
  </si>
  <si>
    <r>
      <t>Other Phenotype</t>
    </r>
    <r>
      <rPr>
        <b/>
        <vertAlign val="superscript"/>
        <sz val="11"/>
        <color theme="1"/>
        <rFont val="Calibri"/>
        <family val="2"/>
        <scheme val="minor"/>
      </rPr>
      <t>(h)</t>
    </r>
  </si>
  <si>
    <t>(h)</t>
  </si>
  <si>
    <t>isolates not meeting the EUCAST criteria for categorisation as ESBL-, AmpC- or carbapenemase-producers (FOT and TAZ ≤ 1 mg/L, MERO ≤ 0.125 mg/L)</t>
  </si>
  <si>
    <t>(c)</t>
  </si>
  <si>
    <t>(e)</t>
  </si>
  <si>
    <t>Animal popultaion / Meats categories</t>
  </si>
  <si>
    <t>Meats categories</t>
  </si>
  <si>
    <r>
      <t xml:space="preserve">Broiler meat, </t>
    </r>
    <r>
      <rPr>
        <b/>
        <sz val="11"/>
        <color theme="1"/>
        <rFont val="Calibri"/>
        <family val="2"/>
      </rPr>
      <t>retail,</t>
    </r>
    <r>
      <rPr>
        <sz val="11"/>
        <color theme="1"/>
        <rFont val="Calibri"/>
        <family val="2"/>
        <scheme val="minor"/>
      </rPr>
      <t xml:space="preserve"> 2024
N=7216, 32 RCs</t>
    </r>
  </si>
  <si>
    <r>
      <t>Broiler meat,</t>
    </r>
    <r>
      <rPr>
        <b/>
        <sz val="11"/>
        <color theme="1"/>
        <rFont val="Calibri"/>
        <family val="2"/>
      </rPr>
      <t xml:space="preserve"> BCP</t>
    </r>
    <r>
      <rPr>
        <sz val="11"/>
        <color theme="1"/>
        <rFont val="Calibri"/>
        <family val="2"/>
        <scheme val="minor"/>
      </rPr>
      <t>, 2024
N=338, 14 RCs</t>
    </r>
  </si>
  <si>
    <r>
      <t xml:space="preserve">Turkey meat, </t>
    </r>
    <r>
      <rPr>
        <b/>
        <sz val="11"/>
        <color theme="1"/>
        <rFont val="Calibri"/>
        <family val="2"/>
      </rPr>
      <t>retail</t>
    </r>
    <r>
      <rPr>
        <sz val="11"/>
        <color theme="1"/>
        <rFont val="Calibri"/>
        <family val="2"/>
        <scheme val="minor"/>
      </rPr>
      <t>, 2024
N=4774, 29 RCs</t>
    </r>
  </si>
  <si>
    <r>
      <t xml:space="preserve">Turkey meat, </t>
    </r>
    <r>
      <rPr>
        <b/>
        <sz val="11"/>
        <color theme="1"/>
        <rFont val="Calibri"/>
        <family val="2"/>
      </rPr>
      <t>BCP,</t>
    </r>
    <r>
      <rPr>
        <sz val="11"/>
        <color theme="1"/>
        <rFont val="Calibri"/>
        <family val="2"/>
        <scheme val="minor"/>
      </rPr>
      <t xml:space="preserve"> 2024
N=40, 3 RCs</t>
    </r>
  </si>
  <si>
    <r>
      <t>Pig meat,</t>
    </r>
    <r>
      <rPr>
        <b/>
        <sz val="11"/>
        <color theme="1"/>
        <rFont val="Calibri"/>
        <family val="2"/>
      </rPr>
      <t xml:space="preserve"> retail</t>
    </r>
    <r>
      <rPr>
        <sz val="11"/>
        <color theme="1"/>
        <rFont val="Calibri"/>
        <family val="2"/>
        <scheme val="minor"/>
      </rPr>
      <t>, 2023
N=7059, 30 RCs</t>
    </r>
  </si>
  <si>
    <r>
      <t xml:space="preserve">Pig meat, </t>
    </r>
    <r>
      <rPr>
        <b/>
        <sz val="11"/>
        <color theme="1"/>
        <rFont val="Calibri"/>
        <family val="2"/>
      </rPr>
      <t>BCP</t>
    </r>
    <r>
      <rPr>
        <sz val="11"/>
        <color theme="1"/>
        <rFont val="Calibri"/>
        <family val="2"/>
        <scheme val="minor"/>
      </rPr>
      <t>, 2023
N=254, 9 RCs</t>
    </r>
  </si>
  <si>
    <r>
      <t xml:space="preserve">Bovine meat, </t>
    </r>
    <r>
      <rPr>
        <b/>
        <sz val="11"/>
        <rFont val="Calibri"/>
        <family val="2"/>
      </rPr>
      <t>retail</t>
    </r>
    <r>
      <rPr>
        <sz val="11"/>
        <rFont val="Calibri"/>
        <family val="2"/>
        <scheme val="minor"/>
      </rPr>
      <t>, 2023
N=7112, 30 RCs</t>
    </r>
  </si>
  <si>
    <r>
      <t xml:space="preserve">Bovine meat, </t>
    </r>
    <r>
      <rPr>
        <b/>
        <sz val="11"/>
        <color theme="1"/>
        <rFont val="Calibri"/>
        <family val="2"/>
      </rPr>
      <t>BCP</t>
    </r>
    <r>
      <rPr>
        <sz val="11"/>
        <color theme="1"/>
        <rFont val="Calibri"/>
        <family val="2"/>
        <scheme val="minor"/>
      </rPr>
      <t>, 2023
N=742, 14 RCs</t>
    </r>
  </si>
  <si>
    <t>AmpC beta-lactamase</t>
  </si>
  <si>
    <t>Ceftazidime</t>
  </si>
  <si>
    <t>Clavulanate</t>
  </si>
  <si>
    <t>Carbapenemase</t>
  </si>
  <si>
    <t>Cefotaxime</t>
  </si>
  <si>
    <t>Extended-spectrum betalactamase</t>
  </si>
  <si>
    <t>Number of isolates with the phenotype </t>
  </si>
  <si>
    <t>Number of CP positive isolates</t>
  </si>
  <si>
    <t>Non-Member States</t>
  </si>
  <si>
    <t>Total number of isolates tested with panel 1</t>
  </si>
  <si>
    <t xml:space="preserve">Number of samples collected at slaughterhouse (pigs, calves, broilers, turkeys) or retail (pig meat, bovine meat, broiler meat and turkey meat); </t>
  </si>
  <si>
    <t>Synergy</t>
  </si>
  <si>
    <t>Percentage of isolates from the total number tested</t>
  </si>
  <si>
    <t>Total number of isolates tested with Panel 2 or performing whole genome sequencing</t>
  </si>
  <si>
    <t xml:space="preserve">NP2 </t>
  </si>
  <si>
    <t>Countries with no data reported in panel 2 because no isolates resistant to CTX, CAZ and/or MER were detected in panel 1.</t>
  </si>
  <si>
    <t>Countries using WGS to identify ESBL-, AmpC- and/or CP-encoding genes.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</si>
</sst>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22294D"/>
      <name val="Calibri"/>
      <family val="2"/>
      <scheme val="minor"/>
    </font>
    <font>
      <u/>
      <sz val="11"/>
      <color rgb="FF008080"/>
      <name val="Calibri"/>
      <family val="2"/>
      <scheme val="minor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0"/>
      <color rgb="FF374151"/>
      <name val="Arial"/>
      <family val="2"/>
    </font>
    <font>
      <i/>
      <sz val="11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i/>
      <sz val="11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/>
      <top/>
      <bottom style="thin">
        <color indexed="64"/>
      </bottom>
      <diagonal/>
    </border>
    <border>
      <left style="thin">
        <color rgb="FFC0C0C0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C0C0C0"/>
      </left>
      <right/>
      <top style="medium">
        <color indexed="64"/>
      </top>
      <bottom/>
      <diagonal/>
    </border>
    <border>
      <left style="thin">
        <color rgb="FFC0C0C0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1">
    <xf numFmtId="0" fontId="0" fillId="0" borderId="0" xfId="0"/>
    <xf numFmtId="37" fontId="0" fillId="0" borderId="0" xfId="0" applyNumberFormat="1"/>
    <xf numFmtId="164" fontId="0" fillId="0" borderId="0" xfId="0" applyNumberFormat="1"/>
    <xf numFmtId="0" fontId="0" fillId="0" borderId="1" xfId="0" applyBorder="1"/>
    <xf numFmtId="0" fontId="3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/>
    <xf numFmtId="37" fontId="1" fillId="0" borderId="0" xfId="0" applyNumberFormat="1" applyFont="1"/>
    <xf numFmtId="164" fontId="1" fillId="0" borderId="0" xfId="0" applyNumberFormat="1" applyFont="1"/>
    <xf numFmtId="0" fontId="0" fillId="0" borderId="0" xfId="0" applyAlignment="1">
      <alignment wrapText="1"/>
    </xf>
    <xf numFmtId="0" fontId="9" fillId="0" borderId="0" xfId="0" applyFont="1"/>
    <xf numFmtId="0" fontId="2" fillId="0" borderId="0" xfId="1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3" borderId="0" xfId="0" applyFill="1"/>
    <xf numFmtId="164" fontId="0" fillId="3" borderId="0" xfId="0" applyNumberFormat="1" applyFill="1"/>
    <xf numFmtId="0" fontId="0" fillId="3" borderId="1" xfId="0" applyFill="1" applyBorder="1" applyAlignment="1">
      <alignment wrapText="1"/>
    </xf>
    <xf numFmtId="0" fontId="0" fillId="3" borderId="1" xfId="0" applyFill="1" applyBorder="1"/>
    <xf numFmtId="164" fontId="0" fillId="3" borderId="1" xfId="0" applyNumberFormat="1" applyFill="1" applyBorder="1"/>
    <xf numFmtId="0" fontId="3" fillId="0" borderId="0" xfId="0" applyFont="1" applyAlignment="1">
      <alignment wrapText="1"/>
    </xf>
    <xf numFmtId="0" fontId="1" fillId="4" borderId="1" xfId="0" applyFont="1" applyFill="1" applyBorder="1" applyAlignment="1">
      <alignment horizontal="left" vertical="center"/>
    </xf>
    <xf numFmtId="0" fontId="3" fillId="0" borderId="8" xfId="0" applyFont="1" applyBorder="1"/>
    <xf numFmtId="0" fontId="3" fillId="0" borderId="5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4" fontId="1" fillId="0" borderId="0" xfId="0" quotePrefix="1" applyNumberFormat="1" applyFont="1"/>
    <xf numFmtId="0" fontId="4" fillId="0" borderId="0" xfId="0" applyFont="1"/>
    <xf numFmtId="0" fontId="3" fillId="0" borderId="6" xfId="0" applyFont="1" applyBorder="1"/>
    <xf numFmtId="37" fontId="3" fillId="0" borderId="5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37" fontId="3" fillId="0" borderId="7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37" fontId="3" fillId="0" borderId="9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37" fontId="3" fillId="0" borderId="6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37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7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37" fontId="3" fillId="0" borderId="7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37" fontId="3" fillId="0" borderId="0" xfId="0" applyNumberFormat="1" applyFont="1" applyAlignment="1">
      <alignment horizontal="center" vertical="center"/>
    </xf>
    <xf numFmtId="37" fontId="13" fillId="0" borderId="7" xfId="0" applyNumberFormat="1" applyFon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wrapText="1"/>
    </xf>
    <xf numFmtId="3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0" fillId="0" borderId="0" xfId="0" applyAlignment="1">
      <alignment horizontal="left"/>
    </xf>
    <xf numFmtId="37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7" fontId="0" fillId="0" borderId="1" xfId="0" applyNumberFormat="1" applyBorder="1" applyAlignment="1">
      <alignment horizontal="center" vertical="center"/>
    </xf>
    <xf numFmtId="37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8" xfId="0" applyBorder="1"/>
    <xf numFmtId="37" fontId="0" fillId="0" borderId="8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3" borderId="3" xfId="0" applyFont="1" applyFill="1" applyBorder="1"/>
    <xf numFmtId="37" fontId="4" fillId="3" borderId="3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4" fillId="3" borderId="1" xfId="0" applyFont="1" applyFill="1" applyBorder="1"/>
    <xf numFmtId="0" fontId="4" fillId="3" borderId="3" xfId="0" applyFont="1" applyFill="1" applyBorder="1" applyAlignment="1">
      <alignment horizontal="center" vertical="center"/>
    </xf>
    <xf numFmtId="37" fontId="4" fillId="3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3" xfId="0" applyFont="1" applyFill="1" applyBorder="1"/>
    <xf numFmtId="164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4" fontId="1" fillId="3" borderId="3" xfId="0" quotePrefix="1" applyNumberFormat="1" applyFont="1" applyFill="1" applyBorder="1" applyAlignment="1">
      <alignment horizontal="center" vertical="center"/>
    </xf>
    <xf numFmtId="37" fontId="4" fillId="3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/>
    <xf numFmtId="37" fontId="1" fillId="3" borderId="4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37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37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" fillId="3" borderId="1" xfId="0" quotePrefix="1" applyFont="1" applyFill="1" applyBorder="1" applyAlignment="1">
      <alignment horizontal="center" vertical="center"/>
    </xf>
    <xf numFmtId="0" fontId="15" fillId="0" borderId="0" xfId="0" applyFont="1"/>
    <xf numFmtId="37" fontId="1" fillId="3" borderId="3" xfId="0" applyNumberFormat="1" applyFont="1" applyFill="1" applyBorder="1" applyAlignment="1">
      <alignment horizontal="center"/>
    </xf>
    <xf numFmtId="164" fontId="1" fillId="3" borderId="3" xfId="0" quotePrefix="1" applyNumberFormat="1" applyFont="1" applyFill="1" applyBorder="1" applyAlignment="1">
      <alignment horizontal="center"/>
    </xf>
    <xf numFmtId="0" fontId="1" fillId="3" borderId="3" xfId="0" quotePrefix="1" applyFont="1" applyFill="1" applyBorder="1" applyAlignment="1">
      <alignment horizontal="center"/>
    </xf>
    <xf numFmtId="164" fontId="1" fillId="3" borderId="1" xfId="0" quotePrefix="1" applyNumberFormat="1" applyFont="1" applyFill="1" applyBorder="1" applyAlignment="1">
      <alignment horizontal="center"/>
    </xf>
    <xf numFmtId="164" fontId="1" fillId="3" borderId="1" xfId="0" quotePrefix="1" applyNumberFormat="1" applyFont="1" applyFill="1" applyBorder="1" applyAlignment="1">
      <alignment horizontal="center" vertical="center"/>
    </xf>
    <xf numFmtId="37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justify" vertical="center"/>
    </xf>
    <xf numFmtId="0" fontId="2" fillId="5" borderId="0" xfId="1" applyFill="1" applyAlignment="1">
      <alignment horizontal="center" vertical="center"/>
    </xf>
    <xf numFmtId="0" fontId="3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justify" vertical="center"/>
    </xf>
    <xf numFmtId="0" fontId="3" fillId="5" borderId="0" xfId="0" applyFont="1" applyFill="1" applyAlignment="1">
      <alignment horizontal="center" vertical="center" wrapText="1"/>
    </xf>
    <xf numFmtId="0" fontId="0" fillId="2" borderId="11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9" fillId="6" borderId="0" xfId="0" applyFont="1" applyFill="1"/>
    <xf numFmtId="0" fontId="0" fillId="6" borderId="13" xfId="0" applyFill="1" applyBorder="1" applyAlignment="1">
      <alignment horizontal="center" vertical="center"/>
    </xf>
    <xf numFmtId="0" fontId="0" fillId="6" borderId="18" xfId="0" quotePrefix="1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/>
    </xf>
    <xf numFmtId="0" fontId="0" fillId="6" borderId="15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9" fillId="6" borderId="12" xfId="0" applyFont="1" applyFill="1" applyBorder="1"/>
    <xf numFmtId="0" fontId="0" fillId="6" borderId="12" xfId="0" applyFill="1" applyBorder="1" applyAlignment="1">
      <alignment horizontal="left" vertical="center"/>
    </xf>
    <xf numFmtId="0" fontId="3" fillId="6" borderId="12" xfId="0" applyFont="1" applyFill="1" applyBorder="1"/>
    <xf numFmtId="0" fontId="9" fillId="6" borderId="14" xfId="0" applyFont="1" applyFill="1" applyBorder="1"/>
    <xf numFmtId="0" fontId="0" fillId="6" borderId="12" xfId="0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37" fontId="4" fillId="3" borderId="3" xfId="0" applyNumberFormat="1" applyFont="1" applyFill="1" applyBorder="1" applyAlignment="1">
      <alignment horizontal="center"/>
    </xf>
    <xf numFmtId="164" fontId="4" fillId="3" borderId="3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0" fontId="0" fillId="0" borderId="0" xfId="0" applyNumberFormat="1"/>
    <xf numFmtId="165" fontId="0" fillId="0" borderId="0" xfId="0" applyNumberFormat="1"/>
    <xf numFmtId="37" fontId="3" fillId="0" borderId="0" xfId="0" applyNumberFormat="1" applyFont="1"/>
    <xf numFmtId="0" fontId="17" fillId="0" borderId="0" xfId="0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37" fontId="0" fillId="7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7" xfId="0" applyFont="1" applyFill="1" applyBorder="1" applyAlignment="1">
      <alignment horizontal="left" vertical="center" wrapText="1"/>
    </xf>
    <xf numFmtId="37" fontId="3" fillId="7" borderId="7" xfId="0" applyNumberFormat="1" applyFont="1" applyFill="1" applyBorder="1" applyAlignment="1">
      <alignment horizontal="center" vertical="center"/>
    </xf>
    <xf numFmtId="164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0" fontId="3" fillId="7" borderId="5" xfId="0" applyFont="1" applyFill="1" applyBorder="1" applyAlignment="1">
      <alignment horizontal="left" vertical="center" wrapText="1"/>
    </xf>
    <xf numFmtId="37" fontId="3" fillId="7" borderId="5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left" vertical="center" wrapText="1"/>
    </xf>
    <xf numFmtId="0" fontId="3" fillId="8" borderId="0" xfId="0" applyFont="1" applyFill="1" applyAlignment="1">
      <alignment horizontal="center" vertical="center" wrapText="1"/>
    </xf>
    <xf numFmtId="37" fontId="3" fillId="8" borderId="0" xfId="0" applyNumberFormat="1" applyFont="1" applyFill="1" applyAlignment="1">
      <alignment horizontal="center" vertical="center"/>
    </xf>
    <xf numFmtId="164" fontId="3" fillId="8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8" borderId="1" xfId="0" applyFill="1" applyBorder="1"/>
    <xf numFmtId="0" fontId="0" fillId="8" borderId="0" xfId="0" applyFill="1"/>
    <xf numFmtId="0" fontId="3" fillId="8" borderId="0" xfId="0" applyFont="1" applyFill="1" applyAlignment="1">
      <alignment horizontal="center"/>
    </xf>
    <xf numFmtId="37" fontId="3" fillId="8" borderId="8" xfId="0" applyNumberFormat="1" applyFont="1" applyFill="1" applyBorder="1" applyAlignment="1">
      <alignment horizontal="center" vertical="center"/>
    </xf>
    <xf numFmtId="164" fontId="3" fillId="8" borderId="8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/>
    </xf>
    <xf numFmtId="37" fontId="3" fillId="8" borderId="1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0" fillId="8" borderId="2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" borderId="0" xfId="0" applyFill="1" applyAlignment="1">
      <alignment horizontal="center" vertical="center"/>
    </xf>
    <xf numFmtId="37" fontId="0" fillId="8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37" fontId="0" fillId="8" borderId="1" xfId="0" applyNumberFormat="1" applyFill="1" applyBorder="1" applyAlignment="1">
      <alignment horizontal="center" vertical="center"/>
    </xf>
    <xf numFmtId="37" fontId="0" fillId="8" borderId="8" xfId="0" applyNumberFormat="1" applyFill="1" applyBorder="1" applyAlignment="1">
      <alignment horizontal="center" vertical="center"/>
    </xf>
    <xf numFmtId="164" fontId="0" fillId="8" borderId="8" xfId="0" applyNumberForma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3" borderId="3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3" borderId="3" xfId="0" quotePrefix="1" applyFont="1" applyFill="1" applyBorder="1" applyAlignment="1">
      <alignment horizontal="center" vertical="center"/>
    </xf>
    <xf numFmtId="37" fontId="1" fillId="3" borderId="8" xfId="0" applyNumberFormat="1" applyFont="1" applyFill="1" applyBorder="1" applyAlignment="1">
      <alignment horizontal="center" vertical="center"/>
    </xf>
    <xf numFmtId="164" fontId="1" fillId="3" borderId="8" xfId="0" quotePrefix="1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/>
    </xf>
    <xf numFmtId="37" fontId="4" fillId="3" borderId="1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3" fillId="0" borderId="5" xfId="0" applyFont="1" applyBorder="1" applyAlignment="1">
      <alignment horizontal="left" wrapText="1"/>
    </xf>
    <xf numFmtId="0" fontId="3" fillId="0" borderId="7" xfId="0" applyFont="1" applyBorder="1" applyAlignment="1">
      <alignment horizontal="left" wrapText="1"/>
    </xf>
    <xf numFmtId="0" fontId="3" fillId="7" borderId="5" xfId="0" applyFont="1" applyFill="1" applyBorder="1" applyAlignment="1">
      <alignment horizontal="left" wrapText="1"/>
    </xf>
    <xf numFmtId="0" fontId="0" fillId="0" borderId="0" xfId="0" quotePrefix="1" applyAlignment="1">
      <alignment horizontal="center"/>
    </xf>
    <xf numFmtId="14" fontId="0" fillId="0" borderId="0" xfId="0" applyNumberFormat="1" applyAlignment="1">
      <alignment horizontal="center"/>
    </xf>
    <xf numFmtId="37" fontId="13" fillId="0" borderId="5" xfId="0" applyNumberFormat="1" applyFont="1" applyBorder="1" applyAlignment="1">
      <alignment horizontal="center"/>
    </xf>
    <xf numFmtId="37" fontId="13" fillId="0" borderId="0" xfId="0" applyNumberFormat="1" applyFont="1" applyAlignment="1">
      <alignment horizont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0" fontId="0" fillId="7" borderId="24" xfId="0" applyFill="1" applyBorder="1"/>
    <xf numFmtId="37" fontId="3" fillId="0" borderId="0" xfId="0" applyNumberFormat="1" applyFont="1" applyAlignment="1">
      <alignment horizontal="center"/>
    </xf>
    <xf numFmtId="0" fontId="1" fillId="3" borderId="8" xfId="0" applyFont="1" applyFill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3" borderId="3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 vertical="center"/>
    </xf>
    <xf numFmtId="0" fontId="9" fillId="6" borderId="12" xfId="0" applyFont="1" applyFill="1" applyBorder="1" applyAlignment="1">
      <alignment vertical="center"/>
    </xf>
    <xf numFmtId="37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37" fontId="0" fillId="0" borderId="5" xfId="0" applyNumberFormat="1" applyBorder="1" applyAlignment="1">
      <alignment horizontal="center" vertical="center"/>
    </xf>
    <xf numFmtId="0" fontId="3" fillId="0" borderId="0" xfId="0" applyFont="1" applyAlignment="1">
      <alignment vertical="top" wrapText="1"/>
    </xf>
    <xf numFmtId="0" fontId="0" fillId="0" borderId="14" xfId="0" applyBorder="1" applyAlignment="1">
      <alignment horizontal="center" vertical="center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vertical="center"/>
    </xf>
    <xf numFmtId="0" fontId="4" fillId="3" borderId="2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164" fontId="0" fillId="0" borderId="25" xfId="0" applyNumberFormat="1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6" xfId="0" applyBorder="1" applyAlignment="1">
      <alignment horizontal="left"/>
    </xf>
    <xf numFmtId="164" fontId="0" fillId="0" borderId="6" xfId="0" applyNumberFormat="1" applyBorder="1" applyAlignment="1">
      <alignment horizontal="left"/>
    </xf>
    <xf numFmtId="0" fontId="0" fillId="0" borderId="28" xfId="0" applyBorder="1" applyAlignment="1">
      <alignment horizontal="left"/>
    </xf>
    <xf numFmtId="164" fontId="1" fillId="3" borderId="1" xfId="0" applyNumberFormat="1" applyFont="1" applyFill="1" applyBorder="1" applyAlignment="1">
      <alignment horizontal="center" vertical="center"/>
    </xf>
    <xf numFmtId="1" fontId="0" fillId="0" borderId="25" xfId="0" applyNumberFormat="1" applyBorder="1" applyAlignment="1">
      <alignment horizontal="left"/>
    </xf>
    <xf numFmtId="1" fontId="0" fillId="0" borderId="6" xfId="0" applyNumberFormat="1" applyBorder="1" applyAlignment="1">
      <alignment horizontal="left"/>
    </xf>
    <xf numFmtId="0" fontId="1" fillId="3" borderId="0" xfId="0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3" fillId="0" borderId="23" xfId="0" applyFont="1" applyBorder="1" applyAlignment="1">
      <alignment horizontal="left" vertical="top" wrapText="1"/>
    </xf>
    <xf numFmtId="37" fontId="4" fillId="3" borderId="3" xfId="0" applyNumberFormat="1" applyFont="1" applyFill="1" applyBorder="1" applyAlignment="1">
      <alignment horizontal="center"/>
    </xf>
    <xf numFmtId="37" fontId="4" fillId="3" borderId="17" xfId="0" applyNumberFormat="1" applyFont="1" applyFill="1" applyBorder="1" applyAlignment="1">
      <alignment horizontal="center"/>
    </xf>
    <xf numFmtId="37" fontId="4" fillId="3" borderId="1" xfId="0" applyNumberFormat="1" applyFont="1" applyFill="1" applyBorder="1" applyAlignment="1">
      <alignment horizontal="center"/>
    </xf>
    <xf numFmtId="37" fontId="4" fillId="3" borderId="15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left"/>
    </xf>
    <xf numFmtId="0" fontId="4" fillId="3" borderId="21" xfId="0" applyFont="1" applyFill="1" applyBorder="1" applyAlignment="1">
      <alignment horizontal="left"/>
    </xf>
    <xf numFmtId="0" fontId="4" fillId="3" borderId="22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157692</xdr:colOff>
      <xdr:row>42</xdr:row>
      <xdr:rowOff>118533</xdr:rowOff>
    </xdr:from>
    <xdr:to>
      <xdr:col>2</xdr:col>
      <xdr:colOff>746972</xdr:colOff>
      <xdr:row>45</xdr:row>
      <xdr:rowOff>118533</xdr:rowOff>
    </xdr:to>
    <xdr:sp macro="" textlink="">
      <xdr:nvSpPr>
        <xdr:cNvPr id="3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A8604B-9EFB-5E93-2134-9C594AE276F4}"/>
            </a:ext>
          </a:extLst>
        </xdr:cNvPr>
        <xdr:cNvSpPr/>
      </xdr:nvSpPr>
      <xdr:spPr>
        <a:xfrm>
          <a:off x="157692" y="8017933"/>
          <a:ext cx="4356947" cy="5588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19</xdr:row>
      <xdr:rowOff>47625</xdr:rowOff>
    </xdr:from>
    <xdr:to>
      <xdr:col>3</xdr:col>
      <xdr:colOff>49530</xdr:colOff>
      <xdr:row>22</xdr:row>
      <xdr:rowOff>47625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7650" y="576262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40</xdr:row>
      <xdr:rowOff>133350</xdr:rowOff>
    </xdr:from>
    <xdr:to>
      <xdr:col>3</xdr:col>
      <xdr:colOff>106680</xdr:colOff>
      <xdr:row>43</xdr:row>
      <xdr:rowOff>133350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04800" y="527685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20</xdr:row>
      <xdr:rowOff>180975</xdr:rowOff>
    </xdr:from>
    <xdr:to>
      <xdr:col>3</xdr:col>
      <xdr:colOff>182880</xdr:colOff>
      <xdr:row>23</xdr:row>
      <xdr:rowOff>180975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81000" y="589597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38</xdr:row>
      <xdr:rowOff>114300</xdr:rowOff>
    </xdr:from>
    <xdr:to>
      <xdr:col>3</xdr:col>
      <xdr:colOff>601980</xdr:colOff>
      <xdr:row>41</xdr:row>
      <xdr:rowOff>114300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6700" y="651510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20</xdr:row>
      <xdr:rowOff>83820</xdr:rowOff>
    </xdr:from>
    <xdr:to>
      <xdr:col>3</xdr:col>
      <xdr:colOff>571500</xdr:colOff>
      <xdr:row>23</xdr:row>
      <xdr:rowOff>83820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36220" y="73990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39</xdr:row>
      <xdr:rowOff>60960</xdr:rowOff>
    </xdr:from>
    <xdr:to>
      <xdr:col>3</xdr:col>
      <xdr:colOff>480060</xdr:colOff>
      <xdr:row>42</xdr:row>
      <xdr:rowOff>60960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44780" y="609600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22</xdr:row>
      <xdr:rowOff>76200</xdr:rowOff>
    </xdr:from>
    <xdr:to>
      <xdr:col>4</xdr:col>
      <xdr:colOff>152400</xdr:colOff>
      <xdr:row>25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9600" y="62941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</xdr:colOff>
      <xdr:row>40</xdr:row>
      <xdr:rowOff>53340</xdr:rowOff>
    </xdr:from>
    <xdr:to>
      <xdr:col>3</xdr:col>
      <xdr:colOff>434340</xdr:colOff>
      <xdr:row>43</xdr:row>
      <xdr:rowOff>53340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060" y="51739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37</xdr:row>
      <xdr:rowOff>76200</xdr:rowOff>
    </xdr:from>
    <xdr:to>
      <xdr:col>3</xdr:col>
      <xdr:colOff>624840</xdr:colOff>
      <xdr:row>40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89560" y="61112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37</xdr:row>
      <xdr:rowOff>68580</xdr:rowOff>
    </xdr:from>
    <xdr:to>
      <xdr:col>3</xdr:col>
      <xdr:colOff>632460</xdr:colOff>
      <xdr:row>40</xdr:row>
      <xdr:rowOff>68580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97180" y="64693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403860</xdr:colOff>
      <xdr:row>37</xdr:row>
      <xdr:rowOff>137160</xdr:rowOff>
    </xdr:from>
    <xdr:to>
      <xdr:col>3</xdr:col>
      <xdr:colOff>739140</xdr:colOff>
      <xdr:row>40</xdr:row>
      <xdr:rowOff>137160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403860" y="653796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182879</xdr:colOff>
      <xdr:row>37</xdr:row>
      <xdr:rowOff>129540</xdr:rowOff>
    </xdr:from>
    <xdr:to>
      <xdr:col>3</xdr:col>
      <xdr:colOff>76199</xdr:colOff>
      <xdr:row>40</xdr:row>
      <xdr:rowOff>129540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2879" y="6444615"/>
          <a:ext cx="2036445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18</xdr:row>
      <xdr:rowOff>91440</xdr:rowOff>
    </xdr:from>
    <xdr:to>
      <xdr:col>2</xdr:col>
      <xdr:colOff>457200</xdr:colOff>
      <xdr:row>21</xdr:row>
      <xdr:rowOff>91440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1920" y="64922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358140</xdr:colOff>
      <xdr:row>39</xdr:row>
      <xdr:rowOff>53340</xdr:rowOff>
    </xdr:from>
    <xdr:to>
      <xdr:col>2</xdr:col>
      <xdr:colOff>693420</xdr:colOff>
      <xdr:row>42</xdr:row>
      <xdr:rowOff>53340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58140" y="627126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20</xdr:row>
      <xdr:rowOff>144780</xdr:rowOff>
    </xdr:from>
    <xdr:to>
      <xdr:col>2</xdr:col>
      <xdr:colOff>571500</xdr:colOff>
      <xdr:row>23</xdr:row>
      <xdr:rowOff>144780</xdr:rowOff>
    </xdr:to>
    <xdr:sp macro="" textlink="">
      <xdr:nvSpPr>
        <xdr:cNvPr id="3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67A33E-521A-20BE-1D10-56080B2DE7EB}"/>
            </a:ext>
          </a:extLst>
        </xdr:cNvPr>
        <xdr:cNvSpPr/>
      </xdr:nvSpPr>
      <xdr:spPr>
        <a:xfrm>
          <a:off x="297180" y="3878580"/>
          <a:ext cx="349758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38</xdr:row>
      <xdr:rowOff>68580</xdr:rowOff>
    </xdr:from>
    <xdr:to>
      <xdr:col>2</xdr:col>
      <xdr:colOff>586740</xdr:colOff>
      <xdr:row>41</xdr:row>
      <xdr:rowOff>68580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1460" y="55549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243840</xdr:colOff>
      <xdr:row>35</xdr:row>
      <xdr:rowOff>76200</xdr:rowOff>
    </xdr:from>
    <xdr:to>
      <xdr:col>2</xdr:col>
      <xdr:colOff>579120</xdr:colOff>
      <xdr:row>38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3840" y="62941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35</xdr:row>
      <xdr:rowOff>0</xdr:rowOff>
    </xdr:from>
    <xdr:to>
      <xdr:col>3</xdr:col>
      <xdr:colOff>38100</xdr:colOff>
      <xdr:row>38</xdr:row>
      <xdr:rowOff>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495300" y="60350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35</xdr:row>
      <xdr:rowOff>30480</xdr:rowOff>
    </xdr:from>
    <xdr:to>
      <xdr:col>2</xdr:col>
      <xdr:colOff>640080</xdr:colOff>
      <xdr:row>38</xdr:row>
      <xdr:rowOff>30480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304800" y="58826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52228</xdr:colOff>
      <xdr:row>45</xdr:row>
      <xdr:rowOff>156315</xdr:rowOff>
    </xdr:from>
    <xdr:to>
      <xdr:col>5</xdr:col>
      <xdr:colOff>197484</xdr:colOff>
      <xdr:row>48</xdr:row>
      <xdr:rowOff>168222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EBCBE-16E8-27E4-9B98-D67E94BBE174}"/>
            </a:ext>
          </a:extLst>
        </xdr:cNvPr>
        <xdr:cNvSpPr/>
      </xdr:nvSpPr>
      <xdr:spPr>
        <a:xfrm>
          <a:off x="2278697" y="8633565"/>
          <a:ext cx="3669506" cy="547688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13</xdr:row>
      <xdr:rowOff>85725</xdr:rowOff>
    </xdr:from>
    <xdr:to>
      <xdr:col>2</xdr:col>
      <xdr:colOff>687705</xdr:colOff>
      <xdr:row>16</xdr:row>
      <xdr:rowOff>85725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825" y="541972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6D8620-58B6-4B14-8D47-1B6D6F32E533}">
  <we:reference id="wa104381504" version="1.0.0.0" store="nb-NO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56"/>
  <sheetViews>
    <sheetView tabSelected="1" zoomScale="85" zoomScaleNormal="85" workbookViewId="0"/>
  </sheetViews>
  <sheetFormatPr defaultColWidth="16.36328125" defaultRowHeight="50" customHeight="1" x14ac:dyDescent="0.35"/>
  <cols>
    <col min="1" max="1" width="16.36328125" style="6"/>
    <col min="2" max="2" width="14.81640625" style="6" customWidth="1"/>
    <col min="3" max="3" width="27.90625" style="6" customWidth="1"/>
    <col min="4" max="4" width="129" style="6" customWidth="1"/>
    <col min="5" max="16384" width="16.36328125" style="6"/>
  </cols>
  <sheetData>
    <row r="1" spans="1:9" s="5" customFormat="1" ht="50" customHeight="1" x14ac:dyDescent="0.35">
      <c r="B1" s="108" t="s">
        <v>0</v>
      </c>
      <c r="C1" s="108" t="s">
        <v>1</v>
      </c>
      <c r="D1" s="108" t="s">
        <v>2</v>
      </c>
      <c r="E1" s="108" t="s">
        <v>3</v>
      </c>
    </row>
    <row r="2" spans="1:9" ht="50" customHeight="1" x14ac:dyDescent="0.35">
      <c r="A2" s="7"/>
      <c r="B2" s="6" t="s">
        <v>5</v>
      </c>
      <c r="C2" s="7" t="s">
        <v>9</v>
      </c>
      <c r="D2" s="140" t="s">
        <v>10</v>
      </c>
      <c r="E2" s="13" t="s">
        <v>4</v>
      </c>
      <c r="G2" s="5"/>
      <c r="H2" s="5"/>
      <c r="I2" s="5"/>
    </row>
    <row r="3" spans="1:9" ht="50" customHeight="1" x14ac:dyDescent="0.35">
      <c r="A3" s="7"/>
      <c r="B3" s="109" t="s">
        <v>8</v>
      </c>
      <c r="C3" s="115" t="s">
        <v>12</v>
      </c>
      <c r="D3" s="111" t="s">
        <v>13</v>
      </c>
      <c r="E3" s="112" t="s">
        <v>4</v>
      </c>
      <c r="G3" s="5"/>
      <c r="H3" s="5"/>
      <c r="I3" s="5"/>
    </row>
    <row r="4" spans="1:9" ht="50" customHeight="1" x14ac:dyDescent="0.35">
      <c r="A4" s="7"/>
      <c r="B4" s="6" t="s">
        <v>11</v>
      </c>
      <c r="C4" s="7" t="s">
        <v>15</v>
      </c>
      <c r="D4" s="139" t="s">
        <v>16</v>
      </c>
      <c r="E4" s="13" t="s">
        <v>4</v>
      </c>
    </row>
    <row r="5" spans="1:9" ht="50" customHeight="1" x14ac:dyDescent="0.35">
      <c r="A5" s="7"/>
      <c r="B5" s="109" t="s">
        <v>14</v>
      </c>
      <c r="C5" s="110" t="s">
        <v>18</v>
      </c>
      <c r="D5" s="114" t="s">
        <v>19</v>
      </c>
      <c r="E5" s="112" t="s">
        <v>4</v>
      </c>
    </row>
    <row r="6" spans="1:9" ht="50" customHeight="1" x14ac:dyDescent="0.35">
      <c r="B6" s="6" t="s">
        <v>17</v>
      </c>
      <c r="C6" s="7" t="s">
        <v>21</v>
      </c>
      <c r="D6" s="25" t="s">
        <v>22</v>
      </c>
      <c r="E6" s="13" t="s">
        <v>4</v>
      </c>
    </row>
    <row r="7" spans="1:9" ht="50" customHeight="1" x14ac:dyDescent="0.35">
      <c r="B7" s="109" t="s">
        <v>20</v>
      </c>
      <c r="C7" s="110" t="s">
        <v>24</v>
      </c>
      <c r="D7" s="113" t="s">
        <v>25</v>
      </c>
      <c r="E7" s="112" t="s">
        <v>4</v>
      </c>
    </row>
    <row r="8" spans="1:9" ht="50" customHeight="1" x14ac:dyDescent="0.35">
      <c r="B8" s="6" t="s">
        <v>23</v>
      </c>
      <c r="C8" s="7" t="s">
        <v>27</v>
      </c>
      <c r="D8" s="25" t="s">
        <v>28</v>
      </c>
      <c r="E8" s="13" t="s">
        <v>4</v>
      </c>
    </row>
    <row r="9" spans="1:9" ht="50" customHeight="1" x14ac:dyDescent="0.35">
      <c r="B9" s="109" t="s">
        <v>26</v>
      </c>
      <c r="C9" s="110" t="s">
        <v>30</v>
      </c>
      <c r="D9" s="113" t="s">
        <v>31</v>
      </c>
      <c r="E9" s="112" t="s">
        <v>4</v>
      </c>
    </row>
    <row r="10" spans="1:9" ht="50" customHeight="1" x14ac:dyDescent="0.35">
      <c r="B10" s="6" t="s">
        <v>29</v>
      </c>
      <c r="C10" s="7" t="s">
        <v>33</v>
      </c>
      <c r="D10" s="25" t="s">
        <v>34</v>
      </c>
      <c r="E10" s="13" t="s">
        <v>4</v>
      </c>
    </row>
    <row r="11" spans="1:9" ht="50" customHeight="1" x14ac:dyDescent="0.35">
      <c r="A11" s="176"/>
      <c r="B11" s="109" t="s">
        <v>32</v>
      </c>
      <c r="C11" s="110" t="s">
        <v>36</v>
      </c>
      <c r="D11" s="113" t="s">
        <v>37</v>
      </c>
      <c r="E11" s="112" t="s">
        <v>4</v>
      </c>
    </row>
    <row r="12" spans="1:9" ht="50" customHeight="1" x14ac:dyDescent="0.35">
      <c r="B12" s="6" t="s">
        <v>35</v>
      </c>
      <c r="C12" s="7" t="s">
        <v>39</v>
      </c>
      <c r="D12" s="25" t="s">
        <v>40</v>
      </c>
      <c r="E12" s="13" t="s">
        <v>4</v>
      </c>
    </row>
    <row r="13" spans="1:9" ht="50" customHeight="1" x14ac:dyDescent="0.35">
      <c r="B13" s="109" t="s">
        <v>38</v>
      </c>
      <c r="C13" s="110" t="s">
        <v>42</v>
      </c>
      <c r="D13" s="113" t="s">
        <v>43</v>
      </c>
      <c r="E13" s="112" t="s">
        <v>4</v>
      </c>
    </row>
    <row r="14" spans="1:9" ht="50" customHeight="1" x14ac:dyDescent="0.35">
      <c r="B14" s="6" t="s">
        <v>41</v>
      </c>
      <c r="C14" s="7" t="s">
        <v>45</v>
      </c>
      <c r="D14" s="25" t="s">
        <v>46</v>
      </c>
      <c r="E14" s="13" t="s">
        <v>4</v>
      </c>
    </row>
    <row r="15" spans="1:9" ht="50" customHeight="1" x14ac:dyDescent="0.35">
      <c r="B15" s="109" t="s">
        <v>44</v>
      </c>
      <c r="C15" s="110" t="s">
        <v>48</v>
      </c>
      <c r="D15" s="113" t="s">
        <v>49</v>
      </c>
      <c r="E15" s="112" t="s">
        <v>4</v>
      </c>
    </row>
    <row r="16" spans="1:9" ht="50" customHeight="1" x14ac:dyDescent="0.35">
      <c r="B16" s="6" t="s">
        <v>47</v>
      </c>
      <c r="C16" s="7" t="s">
        <v>51</v>
      </c>
      <c r="D16" s="25" t="s">
        <v>52</v>
      </c>
      <c r="E16" s="13" t="s">
        <v>4</v>
      </c>
    </row>
    <row r="17" spans="2:5" ht="50" customHeight="1" x14ac:dyDescent="0.35">
      <c r="B17" s="109" t="s">
        <v>50</v>
      </c>
      <c r="C17" s="110" t="s">
        <v>54</v>
      </c>
      <c r="D17" s="113" t="s">
        <v>55</v>
      </c>
      <c r="E17" s="112" t="s">
        <v>4</v>
      </c>
    </row>
    <row r="18" spans="2:5" ht="50" customHeight="1" x14ac:dyDescent="0.35">
      <c r="B18" s="6" t="s">
        <v>53</v>
      </c>
      <c r="C18" s="7" t="s">
        <v>57</v>
      </c>
      <c r="D18" s="25" t="s">
        <v>58</v>
      </c>
      <c r="E18" s="13" t="s">
        <v>4</v>
      </c>
    </row>
    <row r="19" spans="2:5" ht="50" customHeight="1" x14ac:dyDescent="0.35">
      <c r="B19" s="109" t="s">
        <v>56</v>
      </c>
      <c r="C19" s="110" t="s">
        <v>60</v>
      </c>
      <c r="D19" s="113" t="s">
        <v>61</v>
      </c>
      <c r="E19" s="112" t="s">
        <v>4</v>
      </c>
    </row>
    <row r="20" spans="2:5" ht="50" customHeight="1" x14ac:dyDescent="0.35">
      <c r="B20" s="6" t="s">
        <v>59</v>
      </c>
      <c r="C20" s="7" t="s">
        <v>63</v>
      </c>
      <c r="D20" s="25" t="s">
        <v>64</v>
      </c>
      <c r="E20" s="13" t="s">
        <v>4</v>
      </c>
    </row>
    <row r="21" spans="2:5" ht="50" customHeight="1" x14ac:dyDescent="0.35">
      <c r="B21" s="109" t="s">
        <v>62</v>
      </c>
      <c r="C21" s="110" t="s">
        <v>66</v>
      </c>
      <c r="D21" s="113" t="s">
        <v>67</v>
      </c>
      <c r="E21" s="112" t="s">
        <v>4</v>
      </c>
    </row>
    <row r="22" spans="2:5" ht="51" customHeight="1" x14ac:dyDescent="0.35">
      <c r="B22" s="6" t="s">
        <v>65</v>
      </c>
      <c r="C22" s="71" t="s">
        <v>69</v>
      </c>
      <c r="D22" s="139" t="s">
        <v>70</v>
      </c>
      <c r="E22" s="13" t="s">
        <v>4</v>
      </c>
    </row>
    <row r="23" spans="2:5" ht="50" customHeight="1" x14ac:dyDescent="0.35">
      <c r="B23" s="109" t="s">
        <v>68</v>
      </c>
      <c r="C23" s="115" t="s">
        <v>6</v>
      </c>
      <c r="D23" s="114" t="s">
        <v>7</v>
      </c>
      <c r="E23" s="112" t="s">
        <v>4</v>
      </c>
    </row>
    <row r="24" spans="2:5" ht="50" customHeight="1" x14ac:dyDescent="0.35">
      <c r="C24" s="71"/>
      <c r="D24" s="139"/>
      <c r="E24" s="13"/>
    </row>
    <row r="25" spans="2:5" ht="20" customHeight="1" thickBot="1" x14ac:dyDescent="0.4"/>
    <row r="26" spans="2:5" ht="20" customHeight="1" thickBot="1" x14ac:dyDescent="0.4">
      <c r="B26" s="105" t="s">
        <v>71</v>
      </c>
      <c r="C26" s="107" t="s">
        <v>72</v>
      </c>
      <c r="D26" s="106"/>
    </row>
    <row r="27" spans="2:5" ht="20" customHeight="1" x14ac:dyDescent="0.35">
      <c r="B27" s="129" t="s">
        <v>73</v>
      </c>
      <c r="C27" s="125" t="s">
        <v>1035</v>
      </c>
      <c r="D27" s="119"/>
    </row>
    <row r="28" spans="2:5" ht="20" customHeight="1" x14ac:dyDescent="0.35">
      <c r="B28" s="124" t="s">
        <v>74</v>
      </c>
      <c r="C28" s="125" t="s">
        <v>1036</v>
      </c>
      <c r="D28" s="119"/>
    </row>
    <row r="29" spans="2:5" ht="20" customHeight="1" x14ac:dyDescent="0.35">
      <c r="B29" s="124" t="s">
        <v>75</v>
      </c>
      <c r="C29" s="125" t="s">
        <v>76</v>
      </c>
      <c r="D29" s="119"/>
    </row>
    <row r="30" spans="2:5" ht="20" customHeight="1" x14ac:dyDescent="0.35">
      <c r="B30" s="124" t="s">
        <v>77</v>
      </c>
      <c r="C30" s="125" t="s">
        <v>1037</v>
      </c>
      <c r="D30" s="119"/>
    </row>
    <row r="31" spans="2:5" ht="20" customHeight="1" x14ac:dyDescent="0.35">
      <c r="B31" s="124" t="s">
        <v>78</v>
      </c>
      <c r="C31" s="125" t="s">
        <v>1038</v>
      </c>
      <c r="D31" s="119"/>
    </row>
    <row r="32" spans="2:5" ht="20" customHeight="1" x14ac:dyDescent="0.35">
      <c r="B32" s="124" t="s">
        <v>79</v>
      </c>
      <c r="C32" s="125" t="s">
        <v>1039</v>
      </c>
      <c r="D32" s="119"/>
    </row>
    <row r="33" spans="2:4" ht="20" customHeight="1" x14ac:dyDescent="0.35">
      <c r="B33" s="124" t="s">
        <v>80</v>
      </c>
      <c r="C33" s="125" t="s">
        <v>1040</v>
      </c>
      <c r="D33" s="119"/>
    </row>
    <row r="34" spans="2:4" ht="20" customHeight="1" x14ac:dyDescent="0.35">
      <c r="B34" s="124" t="s">
        <v>81</v>
      </c>
      <c r="C34" s="125" t="s">
        <v>82</v>
      </c>
      <c r="D34" s="119"/>
    </row>
    <row r="35" spans="2:4" ht="20" customHeight="1" x14ac:dyDescent="0.35">
      <c r="B35" s="124" t="s">
        <v>83</v>
      </c>
      <c r="C35" s="125" t="s">
        <v>1041</v>
      </c>
      <c r="D35" s="119"/>
    </row>
    <row r="36" spans="2:4" ht="20" customHeight="1" x14ac:dyDescent="0.35">
      <c r="B36" s="124" t="s">
        <v>84</v>
      </c>
      <c r="C36" s="125" t="s">
        <v>1042</v>
      </c>
      <c r="D36" s="119"/>
    </row>
    <row r="37" spans="2:4" ht="20" customHeight="1" x14ac:dyDescent="0.35">
      <c r="B37" s="124" t="s">
        <v>85</v>
      </c>
      <c r="C37" s="126" t="s">
        <v>1043</v>
      </c>
      <c r="D37" s="119"/>
    </row>
    <row r="38" spans="2:4" ht="20" customHeight="1" x14ac:dyDescent="0.35">
      <c r="B38" s="124" t="s">
        <v>86</v>
      </c>
      <c r="C38" s="125" t="s">
        <v>1044</v>
      </c>
      <c r="D38" s="119"/>
    </row>
    <row r="39" spans="2:4" ht="20" customHeight="1" x14ac:dyDescent="0.35">
      <c r="B39" s="124" t="s">
        <v>87</v>
      </c>
      <c r="C39" s="125" t="s">
        <v>1048</v>
      </c>
      <c r="D39" s="119"/>
    </row>
    <row r="40" spans="2:4" ht="20" customHeight="1" x14ac:dyDescent="0.35">
      <c r="B40" s="124" t="s">
        <v>88</v>
      </c>
      <c r="C40" s="127" t="s">
        <v>1045</v>
      </c>
      <c r="D40" s="119"/>
    </row>
    <row r="41" spans="2:4" ht="20" customHeight="1" x14ac:dyDescent="0.35">
      <c r="B41" s="124" t="s">
        <v>89</v>
      </c>
      <c r="C41" s="125" t="s">
        <v>90</v>
      </c>
      <c r="D41" s="119"/>
    </row>
    <row r="42" spans="2:4" ht="20" customHeight="1" x14ac:dyDescent="0.35">
      <c r="B42" s="124" t="s">
        <v>91</v>
      </c>
      <c r="C42" s="125" t="s">
        <v>92</v>
      </c>
      <c r="D42" s="119"/>
    </row>
    <row r="43" spans="2:4" ht="20" customHeight="1" x14ac:dyDescent="0.35">
      <c r="B43" s="124" t="s">
        <v>93</v>
      </c>
      <c r="C43" s="125" t="s">
        <v>1046</v>
      </c>
      <c r="D43" s="119"/>
    </row>
    <row r="44" spans="2:4" ht="20" customHeight="1" thickBot="1" x14ac:dyDescent="0.4">
      <c r="B44" s="224" t="s">
        <v>94</v>
      </c>
      <c r="C44" s="128" t="s">
        <v>1047</v>
      </c>
      <c r="D44" s="123"/>
    </row>
    <row r="45" spans="2:4" ht="20" customHeight="1" x14ac:dyDescent="0.35">
      <c r="C45" s="12"/>
    </row>
    <row r="46" spans="2:4" ht="20" customHeight="1" thickBot="1" x14ac:dyDescent="0.4"/>
    <row r="47" spans="2:4" ht="20" customHeight="1" thickBot="1" x14ac:dyDescent="0.4">
      <c r="B47" s="116" t="s">
        <v>95</v>
      </c>
      <c r="C47" s="225" t="s">
        <v>72</v>
      </c>
      <c r="D47" s="226"/>
    </row>
    <row r="48" spans="2:4" ht="20" customHeight="1" x14ac:dyDescent="0.35">
      <c r="B48" s="117" t="s">
        <v>96</v>
      </c>
      <c r="C48" s="118" t="s">
        <v>97</v>
      </c>
      <c r="D48" s="119"/>
    </row>
    <row r="49" spans="2:4" ht="20" customHeight="1" x14ac:dyDescent="0.35">
      <c r="B49" s="117" t="s">
        <v>98</v>
      </c>
      <c r="C49" s="118" t="s">
        <v>99</v>
      </c>
      <c r="D49" s="119"/>
    </row>
    <row r="50" spans="2:4" ht="20" customHeight="1" x14ac:dyDescent="0.35">
      <c r="B50" s="120" t="s">
        <v>1023</v>
      </c>
      <c r="C50" s="118" t="s">
        <v>100</v>
      </c>
      <c r="D50" s="119"/>
    </row>
    <row r="51" spans="2:4" ht="20" customHeight="1" x14ac:dyDescent="0.35">
      <c r="B51" s="117" t="s">
        <v>101</v>
      </c>
      <c r="C51" s="118" t="s">
        <v>102</v>
      </c>
      <c r="D51" s="119"/>
    </row>
    <row r="52" spans="2:4" ht="20" customHeight="1" x14ac:dyDescent="0.35">
      <c r="B52" s="117" t="s">
        <v>1024</v>
      </c>
      <c r="C52" s="118" t="s">
        <v>103</v>
      </c>
      <c r="D52" s="119"/>
    </row>
    <row r="53" spans="2:4" ht="20" customHeight="1" x14ac:dyDescent="0.35">
      <c r="B53" s="117" t="s">
        <v>104</v>
      </c>
      <c r="C53" s="125" t="s">
        <v>105</v>
      </c>
      <c r="D53" s="119"/>
    </row>
    <row r="54" spans="2:4" ht="20" customHeight="1" x14ac:dyDescent="0.35">
      <c r="B54" s="117" t="s">
        <v>106</v>
      </c>
      <c r="C54" s="218" t="s">
        <v>107</v>
      </c>
      <c r="D54" s="119"/>
    </row>
    <row r="55" spans="2:4" ht="20" customHeight="1" thickBot="1" x14ac:dyDescent="0.4">
      <c r="B55" s="121" t="s">
        <v>1021</v>
      </c>
      <c r="C55" s="122" t="s">
        <v>1022</v>
      </c>
      <c r="D55" s="123"/>
    </row>
    <row r="56" spans="2:4" ht="50" customHeight="1" x14ac:dyDescent="0.35">
      <c r="C56" s="12"/>
    </row>
  </sheetData>
  <mergeCells count="1">
    <mergeCell ref="C47:D47"/>
  </mergeCells>
  <phoneticPr fontId="21" type="noConversion"/>
  <hyperlinks>
    <hyperlink ref="E2" location="'Indicator E. coli broilers'!A1" display="Go To Sheet" xr:uid="{00000000-0004-0000-0000-000001000000}"/>
    <hyperlink ref="E3" location="'Indicator E. coli turkeys'!A1" display="Go To Sheet" xr:uid="{00000000-0004-0000-0000-000002000000}"/>
    <hyperlink ref="E10" location="'Prevalence broiler meat'!A1" display="Go To Sheet" xr:uid="{00000000-0004-0000-0000-000003000000}"/>
    <hyperlink ref="E18" location="'Occurrence broiler meat'!A1" display="Go To Sheet" xr:uid="{00000000-0004-0000-0000-000004000000}"/>
    <hyperlink ref="E14" location="'Occurrence broilers'!A1" display="Go To Sheet" xr:uid="{00000000-0004-0000-0000-000006000000}"/>
    <hyperlink ref="E11" location="'Prevalence turkey meat'!A1" display="Go To Sheet" xr:uid="{00000000-0004-0000-0000-000007000000}"/>
    <hyperlink ref="E7" location="'Prevalence turkeys'!A1" display="Go To Sheet" xr:uid="{00000000-0004-0000-0000-000009000000}"/>
    <hyperlink ref="E15" location="'Occurrence turkeys'!A1" display="Go To Sheet" xr:uid="{00000000-0004-0000-0000-00000A000000}"/>
    <hyperlink ref="E4" location="'Indicator E. coli pigs'!A1" display="Go To Sheet" xr:uid="{00000000-0004-0000-0000-00000C000000}"/>
    <hyperlink ref="E12" location="'Prevalence pig meat'!A1" display="Go To Sheet" xr:uid="{00000000-0004-0000-0000-00000E000000}"/>
    <hyperlink ref="E20" location="'Occurrence pig meat'!A1" display="Go To Sheet" xr:uid="{00000000-0004-0000-0000-00000F000000}"/>
    <hyperlink ref="E8" location="'Prevalence pigs'!A1" display="Go To Sheet" xr:uid="{00000000-0004-0000-0000-000010000000}"/>
    <hyperlink ref="E16" location="'Occurrence pigs'!A1" display="Go To Sheet" xr:uid="{00000000-0004-0000-0000-000011000000}"/>
    <hyperlink ref="E13" location="'Prevalence bovine meat'!A1" display="Go To Sheet" xr:uid="{00000000-0004-0000-0000-000012000000}"/>
    <hyperlink ref="E21" location="'Occurrence bovine meat'!A1" display="Go To Sheet" xr:uid="{00000000-0004-0000-0000-000013000000}"/>
    <hyperlink ref="E9" location="'Prevalence calves'!A1" display="Go To Sheet" xr:uid="{00000000-0004-0000-0000-000014000000}"/>
    <hyperlink ref="E17" location="'Occurrence calves'!A1" display="Go To Sheet" xr:uid="{00000000-0004-0000-0000-000015000000}"/>
    <hyperlink ref="E22" location="'Samples investigated CP-prod'!A1" display="Go To Sheet" xr:uid="{00000000-0004-0000-0000-000016000000}"/>
    <hyperlink ref="E23" location="'Occurrence retail &amp; import meat'!A1" display="Go To Sheet" xr:uid="{00000000-0004-0000-0000-000017000000}"/>
    <hyperlink ref="E5" location="'Indicator E. coli calves'!A1" display="Go To Sheet" xr:uid="{FC644D24-9376-452C-8CA3-FA917559E036}"/>
    <hyperlink ref="E6" location="'Prevalence broilers'!A1" display="Go To Sheet" xr:uid="{93D51E70-E614-4ED7-AE18-DA8BF7223A87}"/>
    <hyperlink ref="E19" location="'Occurrence turkey meat'!A1" display="Go To Sheet" xr:uid="{00000000-0004-0000-0000-000008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0">
    <tabColor theme="8" tint="0.79998168889431442"/>
  </sheetPr>
  <dimension ref="A1:Q46"/>
  <sheetViews>
    <sheetView zoomScale="80" zoomScaleNormal="80" workbookViewId="0">
      <pane ySplit="2" topLeftCell="A3" activePane="bottomLeft" state="frozen"/>
      <selection pane="bottomLeft" sqref="A1:A2"/>
    </sheetView>
  </sheetViews>
  <sheetFormatPr defaultColWidth="11.453125" defaultRowHeight="14.5" x14ac:dyDescent="0.35"/>
  <cols>
    <col min="1" max="1" width="32.54296875" customWidth="1"/>
    <col min="2" max="2" width="10.6328125" style="55" customWidth="1"/>
    <col min="3" max="3" width="10.6328125" customWidth="1"/>
    <col min="4" max="4" width="12.81640625" customWidth="1"/>
    <col min="5" max="5" width="12.81640625" style="2" customWidth="1"/>
    <col min="6" max="6" width="12.81640625" customWidth="1"/>
    <col min="7" max="7" width="12.81640625" style="2" customWidth="1"/>
    <col min="8" max="8" width="12.81640625" customWidth="1"/>
    <col min="9" max="9" width="12.81640625" style="2" customWidth="1"/>
    <col min="10" max="10" width="12.81640625" customWidth="1"/>
    <col min="11" max="11" width="12.81640625" style="2" customWidth="1"/>
    <col min="12" max="12" width="12.81640625" customWidth="1"/>
    <col min="13" max="13" width="12.81640625" style="2" customWidth="1"/>
    <col min="14" max="14" width="12.81640625" customWidth="1"/>
    <col min="15" max="15" width="12.81640625" style="2" customWidth="1"/>
    <col min="16" max="16" width="12.81640625" customWidth="1"/>
    <col min="17" max="17" width="12.81640625" style="2" customWidth="1"/>
  </cols>
  <sheetData>
    <row r="1" spans="1:17" ht="17" thickBot="1" x14ac:dyDescent="0.4">
      <c r="A1" s="227" t="s">
        <v>108</v>
      </c>
      <c r="B1" s="229" t="s">
        <v>86</v>
      </c>
      <c r="C1" s="229" t="s">
        <v>87</v>
      </c>
      <c r="D1" s="231" t="s">
        <v>109</v>
      </c>
      <c r="E1" s="231"/>
      <c r="F1" s="232" t="s">
        <v>110</v>
      </c>
      <c r="G1" s="232"/>
      <c r="H1" s="232" t="s">
        <v>111</v>
      </c>
      <c r="I1" s="232"/>
      <c r="J1" s="232" t="s">
        <v>112</v>
      </c>
      <c r="K1" s="232"/>
      <c r="L1" s="232" t="s">
        <v>113</v>
      </c>
      <c r="M1" s="232"/>
      <c r="N1" s="232" t="s">
        <v>114</v>
      </c>
      <c r="O1" s="232"/>
      <c r="P1" s="232" t="s">
        <v>115</v>
      </c>
      <c r="Q1" s="232"/>
    </row>
    <row r="2" spans="1:17" ht="15" thickBot="1" x14ac:dyDescent="0.4">
      <c r="A2" s="228"/>
      <c r="B2" s="230"/>
      <c r="C2" s="230"/>
      <c r="D2" s="131" t="s">
        <v>83</v>
      </c>
      <c r="E2" s="78" t="s">
        <v>94</v>
      </c>
      <c r="F2" s="131" t="s">
        <v>83</v>
      </c>
      <c r="G2" s="78" t="s">
        <v>94</v>
      </c>
      <c r="H2" s="131" t="s">
        <v>83</v>
      </c>
      <c r="I2" s="78" t="s">
        <v>94</v>
      </c>
      <c r="J2" s="131" t="s">
        <v>83</v>
      </c>
      <c r="K2" s="78" t="s">
        <v>94</v>
      </c>
      <c r="L2" s="131" t="s">
        <v>83</v>
      </c>
      <c r="M2" s="78" t="s">
        <v>94</v>
      </c>
      <c r="N2" s="131" t="s">
        <v>83</v>
      </c>
      <c r="O2" s="78" t="s">
        <v>94</v>
      </c>
      <c r="P2" s="131" t="s">
        <v>83</v>
      </c>
      <c r="Q2" s="78" t="s">
        <v>94</v>
      </c>
    </row>
    <row r="3" spans="1:17" x14ac:dyDescent="0.35">
      <c r="A3" s="24" t="s">
        <v>116</v>
      </c>
      <c r="B3" s="47">
        <v>199</v>
      </c>
      <c r="C3" s="47">
        <v>3</v>
      </c>
      <c r="D3" s="47">
        <v>1</v>
      </c>
      <c r="E3" s="48">
        <f>(D3/$B3)*100</f>
        <v>0.50251256281407031</v>
      </c>
      <c r="F3" s="51">
        <v>1</v>
      </c>
      <c r="G3" s="48">
        <f>(F3/$B3)*100</f>
        <v>0.50251256281407031</v>
      </c>
      <c r="H3" s="50">
        <v>1</v>
      </c>
      <c r="I3" s="48">
        <f>(H3/$B3)*100</f>
        <v>0.50251256281407031</v>
      </c>
      <c r="J3" s="50">
        <v>0</v>
      </c>
      <c r="K3" s="48">
        <f t="shared" ref="K3:K4" si="0">(J3/$B3)*100</f>
        <v>0</v>
      </c>
      <c r="L3" s="51">
        <v>0</v>
      </c>
      <c r="M3" s="48">
        <f>(L3/$B3)*100</f>
        <v>0</v>
      </c>
      <c r="N3" s="51">
        <v>0</v>
      </c>
      <c r="O3" s="48">
        <f>(N3/$B3)*100</f>
        <v>0</v>
      </c>
      <c r="P3" s="51">
        <v>0</v>
      </c>
      <c r="Q3" s="48">
        <f>(P3/$B3)*100</f>
        <v>0</v>
      </c>
    </row>
    <row r="4" spans="1:17" x14ac:dyDescent="0.35">
      <c r="A4" s="25" t="s">
        <v>117</v>
      </c>
      <c r="B4" s="51">
        <v>170</v>
      </c>
      <c r="C4" s="51">
        <v>4</v>
      </c>
      <c r="D4" s="51">
        <v>3</v>
      </c>
      <c r="E4" s="48">
        <f>(D4/$B4)*100</f>
        <v>1.7647058823529411</v>
      </c>
      <c r="F4" s="51">
        <v>2</v>
      </c>
      <c r="G4" s="48">
        <f>(F4/$B4)*100</f>
        <v>1.1764705882352942</v>
      </c>
      <c r="H4" s="7">
        <v>0</v>
      </c>
      <c r="I4" s="48">
        <f>(H4/$B4)*100</f>
        <v>0</v>
      </c>
      <c r="J4" s="7">
        <v>0</v>
      </c>
      <c r="K4" s="48">
        <f t="shared" si="0"/>
        <v>0</v>
      </c>
      <c r="L4" s="51">
        <v>0</v>
      </c>
      <c r="M4" s="48">
        <f>(L4/$B4)*100</f>
        <v>0</v>
      </c>
      <c r="N4" s="51">
        <v>1</v>
      </c>
      <c r="O4" s="48">
        <f>(N4/$B4)*100</f>
        <v>0.58823529411764708</v>
      </c>
      <c r="P4" s="51">
        <v>0</v>
      </c>
      <c r="Q4" s="48">
        <f>(P4/$B4)*100</f>
        <v>0</v>
      </c>
    </row>
    <row r="5" spans="1:17" x14ac:dyDescent="0.35">
      <c r="A5" s="151" t="s">
        <v>118</v>
      </c>
      <c r="B5" s="152">
        <v>85</v>
      </c>
      <c r="C5" s="153" t="s">
        <v>119</v>
      </c>
      <c r="D5" s="153" t="s">
        <v>119</v>
      </c>
      <c r="E5" s="154" t="s">
        <v>119</v>
      </c>
      <c r="F5" s="153" t="s">
        <v>119</v>
      </c>
      <c r="G5" s="154" t="s">
        <v>119</v>
      </c>
      <c r="H5" s="155" t="s">
        <v>119</v>
      </c>
      <c r="I5" s="154" t="s">
        <v>119</v>
      </c>
      <c r="J5" s="155" t="s">
        <v>119</v>
      </c>
      <c r="K5" s="154" t="s">
        <v>119</v>
      </c>
      <c r="L5" s="153" t="s">
        <v>119</v>
      </c>
      <c r="M5" s="154" t="s">
        <v>119</v>
      </c>
      <c r="N5" s="153" t="s">
        <v>119</v>
      </c>
      <c r="O5" s="154" t="s">
        <v>119</v>
      </c>
      <c r="P5" s="153" t="s">
        <v>119</v>
      </c>
      <c r="Q5" s="154" t="s">
        <v>119</v>
      </c>
    </row>
    <row r="6" spans="1:17" x14ac:dyDescent="0.35">
      <c r="A6" s="151" t="s">
        <v>120</v>
      </c>
      <c r="B6" s="152">
        <v>85</v>
      </c>
      <c r="C6" s="153" t="s">
        <v>119</v>
      </c>
      <c r="D6" s="153" t="s">
        <v>119</v>
      </c>
      <c r="E6" s="154" t="s">
        <v>119</v>
      </c>
      <c r="F6" s="153" t="s">
        <v>119</v>
      </c>
      <c r="G6" s="154" t="s">
        <v>119</v>
      </c>
      <c r="H6" s="155" t="s">
        <v>119</v>
      </c>
      <c r="I6" s="154" t="s">
        <v>119</v>
      </c>
      <c r="J6" s="155" t="s">
        <v>119</v>
      </c>
      <c r="K6" s="154" t="s">
        <v>119</v>
      </c>
      <c r="L6" s="153" t="s">
        <v>119</v>
      </c>
      <c r="M6" s="154" t="s">
        <v>119</v>
      </c>
      <c r="N6" s="153" t="s">
        <v>119</v>
      </c>
      <c r="O6" s="154" t="s">
        <v>119</v>
      </c>
      <c r="P6" s="153" t="s">
        <v>119</v>
      </c>
      <c r="Q6" s="154" t="s">
        <v>119</v>
      </c>
    </row>
    <row r="7" spans="1:17" x14ac:dyDescent="0.35">
      <c r="A7" s="25" t="s">
        <v>121</v>
      </c>
      <c r="B7" s="51">
        <v>120</v>
      </c>
      <c r="C7" s="51">
        <v>16</v>
      </c>
      <c r="D7" s="51">
        <v>16</v>
      </c>
      <c r="E7" s="48">
        <f>(D7/$B7)*100</f>
        <v>13.333333333333334</v>
      </c>
      <c r="F7" s="51">
        <v>13</v>
      </c>
      <c r="G7" s="48">
        <f>(F7/$B7)*100</f>
        <v>10.833333333333334</v>
      </c>
      <c r="H7" s="7">
        <v>4</v>
      </c>
      <c r="I7" s="48">
        <f>(H7/$B7)*100</f>
        <v>3.3333333333333335</v>
      </c>
      <c r="J7" s="7">
        <v>0</v>
      </c>
      <c r="K7" s="48">
        <f>(J7/$B7)*100</f>
        <v>0</v>
      </c>
      <c r="L7" s="51">
        <v>1</v>
      </c>
      <c r="M7" s="48">
        <f>(L7/$B7)*100</f>
        <v>0.83333333333333337</v>
      </c>
      <c r="N7" s="51">
        <v>2</v>
      </c>
      <c r="O7" s="48">
        <f>(N7/$B7)*100</f>
        <v>1.6666666666666667</v>
      </c>
      <c r="P7" s="51">
        <v>0</v>
      </c>
      <c r="Q7" s="48">
        <f>(P7/$B7)*100</f>
        <v>0</v>
      </c>
    </row>
    <row r="8" spans="1:17" x14ac:dyDescent="0.35">
      <c r="A8" s="25" t="s">
        <v>122</v>
      </c>
      <c r="B8" s="51">
        <v>178</v>
      </c>
      <c r="C8" s="51">
        <v>1</v>
      </c>
      <c r="D8" s="51">
        <v>1</v>
      </c>
      <c r="E8" s="48">
        <f>(D8/$B8)*100</f>
        <v>0.5617977528089888</v>
      </c>
      <c r="F8" s="51">
        <v>0</v>
      </c>
      <c r="G8" s="48">
        <f>(F8/$B8)*100</f>
        <v>0</v>
      </c>
      <c r="H8" s="7">
        <v>0</v>
      </c>
      <c r="I8" s="48">
        <f t="shared" ref="I8:I14" si="1">(H8/$B8)*100</f>
        <v>0</v>
      </c>
      <c r="J8" s="7">
        <v>0</v>
      </c>
      <c r="K8" s="48">
        <f t="shared" ref="K8:K14" si="2">(J8/$B8)*100</f>
        <v>0</v>
      </c>
      <c r="L8" s="51">
        <v>1</v>
      </c>
      <c r="M8" s="48">
        <f>(L8/$B8)*100</f>
        <v>0.5617977528089888</v>
      </c>
      <c r="N8" s="51">
        <v>0</v>
      </c>
      <c r="O8" s="48">
        <f>(N8/$B8)*100</f>
        <v>0</v>
      </c>
      <c r="P8" s="51">
        <v>0</v>
      </c>
      <c r="Q8" s="48">
        <f>(P8/$B8)*100</f>
        <v>0</v>
      </c>
    </row>
    <row r="9" spans="1:17" x14ac:dyDescent="0.35">
      <c r="A9" s="25" t="s">
        <v>123</v>
      </c>
      <c r="B9" s="51">
        <v>173</v>
      </c>
      <c r="C9" s="51">
        <v>1</v>
      </c>
      <c r="D9" s="51">
        <v>0</v>
      </c>
      <c r="E9" s="48">
        <f>(D9/$B9)*100</f>
        <v>0</v>
      </c>
      <c r="F9" s="51">
        <v>0</v>
      </c>
      <c r="G9" s="48">
        <f>(F9/$B9)*100</f>
        <v>0</v>
      </c>
      <c r="H9" s="7">
        <v>0</v>
      </c>
      <c r="I9" s="48">
        <f t="shared" si="1"/>
        <v>0</v>
      </c>
      <c r="J9" s="7">
        <v>0</v>
      </c>
      <c r="K9" s="48">
        <f t="shared" si="2"/>
        <v>0</v>
      </c>
      <c r="L9" s="51">
        <v>0</v>
      </c>
      <c r="M9" s="48">
        <f>(L9/$B9)*100</f>
        <v>0</v>
      </c>
      <c r="N9" s="51">
        <v>0</v>
      </c>
      <c r="O9" s="48">
        <f>(N9/$B9)*100</f>
        <v>0</v>
      </c>
      <c r="P9" s="51">
        <v>0</v>
      </c>
      <c r="Q9" s="48">
        <f>(P9/$B9)*100</f>
        <v>0</v>
      </c>
    </row>
    <row r="10" spans="1:17" x14ac:dyDescent="0.35">
      <c r="A10" s="25" t="s">
        <v>124</v>
      </c>
      <c r="B10" s="51">
        <v>152</v>
      </c>
      <c r="C10" s="51">
        <v>4</v>
      </c>
      <c r="D10" s="51">
        <v>3</v>
      </c>
      <c r="E10" s="48">
        <f>(D10/$B10)*100</f>
        <v>1.9736842105263157</v>
      </c>
      <c r="F10" s="51">
        <v>3</v>
      </c>
      <c r="G10" s="48">
        <f>(F10/$B10)*100</f>
        <v>1.9736842105263157</v>
      </c>
      <c r="H10" s="7">
        <v>0</v>
      </c>
      <c r="I10" s="48">
        <f t="shared" si="1"/>
        <v>0</v>
      </c>
      <c r="J10" s="7">
        <v>0</v>
      </c>
      <c r="K10" s="48">
        <f t="shared" si="2"/>
        <v>0</v>
      </c>
      <c r="L10" s="51">
        <v>0</v>
      </c>
      <c r="M10" s="48">
        <f>(L10/$B10)*100</f>
        <v>0</v>
      </c>
      <c r="N10" s="51">
        <v>0</v>
      </c>
      <c r="O10" s="48">
        <f>(N10/$B10)*100</f>
        <v>0</v>
      </c>
      <c r="P10" s="51">
        <v>1</v>
      </c>
      <c r="Q10" s="48">
        <f>(P10/$B10)*100</f>
        <v>0.6578947368421052</v>
      </c>
    </row>
    <row r="11" spans="1:17" x14ac:dyDescent="0.35">
      <c r="A11" s="151" t="s">
        <v>125</v>
      </c>
      <c r="B11" s="153">
        <v>170</v>
      </c>
      <c r="C11" s="153" t="s">
        <v>119</v>
      </c>
      <c r="D11" s="153" t="s">
        <v>119</v>
      </c>
      <c r="E11" s="154" t="s">
        <v>119</v>
      </c>
      <c r="F11" s="153" t="s">
        <v>119</v>
      </c>
      <c r="G11" s="154" t="s">
        <v>119</v>
      </c>
      <c r="H11" s="155" t="s">
        <v>119</v>
      </c>
      <c r="I11" s="154" t="s">
        <v>119</v>
      </c>
      <c r="J11" s="155" t="s">
        <v>119</v>
      </c>
      <c r="K11" s="154" t="s">
        <v>119</v>
      </c>
      <c r="L11" s="153" t="s">
        <v>119</v>
      </c>
      <c r="M11" s="154" t="s">
        <v>119</v>
      </c>
      <c r="N11" s="153" t="s">
        <v>119</v>
      </c>
      <c r="O11" s="154" t="s">
        <v>119</v>
      </c>
      <c r="P11" s="153" t="s">
        <v>119</v>
      </c>
      <c r="Q11" s="154" t="s">
        <v>119</v>
      </c>
    </row>
    <row r="12" spans="1:17" x14ac:dyDescent="0.35">
      <c r="A12" s="25" t="s">
        <v>126</v>
      </c>
      <c r="B12" s="51">
        <v>220</v>
      </c>
      <c r="C12" s="51">
        <v>1</v>
      </c>
      <c r="D12" s="51">
        <v>1</v>
      </c>
      <c r="E12" s="48">
        <f>(D12/$B12)*100</f>
        <v>0.45454545454545453</v>
      </c>
      <c r="F12" s="51">
        <v>1</v>
      </c>
      <c r="G12" s="48">
        <f>(F12/$B12)*100</f>
        <v>0.45454545454545453</v>
      </c>
      <c r="H12" s="7">
        <v>0</v>
      </c>
      <c r="I12" s="48">
        <f t="shared" si="1"/>
        <v>0</v>
      </c>
      <c r="J12" s="7">
        <v>0</v>
      </c>
      <c r="K12" s="48">
        <f t="shared" si="2"/>
        <v>0</v>
      </c>
      <c r="L12" s="51">
        <v>0</v>
      </c>
      <c r="M12" s="48">
        <f>(L12/$B12)*100</f>
        <v>0</v>
      </c>
      <c r="N12" s="51">
        <v>0</v>
      </c>
      <c r="O12" s="48">
        <f>(N12/$B12)*100</f>
        <v>0</v>
      </c>
      <c r="P12" s="51">
        <v>0</v>
      </c>
      <c r="Q12" s="48">
        <f>(P12/$B12)*100</f>
        <v>0</v>
      </c>
    </row>
    <row r="13" spans="1:17" x14ac:dyDescent="0.35">
      <c r="A13" s="25" t="s">
        <v>127</v>
      </c>
      <c r="B13" s="51">
        <v>245</v>
      </c>
      <c r="C13" s="51">
        <v>3</v>
      </c>
      <c r="D13" s="51">
        <v>3</v>
      </c>
      <c r="E13" s="48">
        <f>(D13/$B13)*100</f>
        <v>1.2244897959183674</v>
      </c>
      <c r="F13" s="51">
        <v>3</v>
      </c>
      <c r="G13" s="48">
        <f>(F13/$B13)*100</f>
        <v>1.2244897959183674</v>
      </c>
      <c r="H13" s="7" t="s">
        <v>128</v>
      </c>
      <c r="I13" s="48" t="s">
        <v>119</v>
      </c>
      <c r="J13" s="7" t="s">
        <v>128</v>
      </c>
      <c r="K13" s="48" t="s">
        <v>119</v>
      </c>
      <c r="L13" s="51">
        <v>0</v>
      </c>
      <c r="M13" s="48">
        <f>(L13/$B13)*100</f>
        <v>0</v>
      </c>
      <c r="N13" s="51">
        <v>0</v>
      </c>
      <c r="O13" s="48">
        <f>(N13/$B13)*100</f>
        <v>0</v>
      </c>
      <c r="P13" s="51">
        <v>0</v>
      </c>
      <c r="Q13" s="48">
        <f>(P13/$B13)*100</f>
        <v>0</v>
      </c>
    </row>
    <row r="14" spans="1:17" x14ac:dyDescent="0.35">
      <c r="A14" s="25" t="s">
        <v>129</v>
      </c>
      <c r="B14" s="51">
        <v>170</v>
      </c>
      <c r="C14" s="51">
        <v>2</v>
      </c>
      <c r="D14" s="51">
        <v>2</v>
      </c>
      <c r="E14" s="48">
        <f>(D14/$B14)*100</f>
        <v>1.1764705882352942</v>
      </c>
      <c r="F14" s="51">
        <v>2</v>
      </c>
      <c r="G14" s="48">
        <f>(F14/$B14)*100</f>
        <v>1.1764705882352942</v>
      </c>
      <c r="H14" s="7">
        <v>1</v>
      </c>
      <c r="I14" s="48">
        <f t="shared" si="1"/>
        <v>0.58823529411764708</v>
      </c>
      <c r="J14" s="7">
        <v>0</v>
      </c>
      <c r="K14" s="48">
        <f t="shared" si="2"/>
        <v>0</v>
      </c>
      <c r="L14" s="51">
        <v>0</v>
      </c>
      <c r="M14" s="48">
        <f>(L14/$B14)*100</f>
        <v>0</v>
      </c>
      <c r="N14" s="51">
        <v>0</v>
      </c>
      <c r="O14" s="48">
        <f>(N14/$B14)*100</f>
        <v>0</v>
      </c>
      <c r="P14" s="51">
        <v>0</v>
      </c>
      <c r="Q14" s="48">
        <f>(P14/$B14)*100</f>
        <v>0</v>
      </c>
    </row>
    <row r="15" spans="1:17" x14ac:dyDescent="0.35">
      <c r="A15" s="151" t="s">
        <v>130</v>
      </c>
      <c r="B15" s="152">
        <v>188</v>
      </c>
      <c r="C15" s="153" t="s">
        <v>119</v>
      </c>
      <c r="D15" s="153" t="s">
        <v>119</v>
      </c>
      <c r="E15" s="154" t="s">
        <v>119</v>
      </c>
      <c r="F15" s="153" t="s">
        <v>119</v>
      </c>
      <c r="G15" s="154" t="s">
        <v>119</v>
      </c>
      <c r="H15" s="155" t="s">
        <v>119</v>
      </c>
      <c r="I15" s="154" t="s">
        <v>119</v>
      </c>
      <c r="J15" s="155" t="s">
        <v>119</v>
      </c>
      <c r="K15" s="154" t="s">
        <v>119</v>
      </c>
      <c r="L15" s="153" t="s">
        <v>119</v>
      </c>
      <c r="M15" s="154" t="s">
        <v>119</v>
      </c>
      <c r="N15" s="153" t="s">
        <v>119</v>
      </c>
      <c r="O15" s="154" t="s">
        <v>119</v>
      </c>
      <c r="P15" s="153" t="s">
        <v>119</v>
      </c>
      <c r="Q15" s="154" t="s">
        <v>119</v>
      </c>
    </row>
    <row r="16" spans="1:17" x14ac:dyDescent="0.35">
      <c r="A16" s="151" t="s">
        <v>131</v>
      </c>
      <c r="B16" s="152">
        <v>170</v>
      </c>
      <c r="C16" s="153" t="s">
        <v>119</v>
      </c>
      <c r="D16" s="153" t="s">
        <v>119</v>
      </c>
      <c r="E16" s="154" t="s">
        <v>119</v>
      </c>
      <c r="F16" s="153" t="s">
        <v>119</v>
      </c>
      <c r="G16" s="154" t="s">
        <v>119</v>
      </c>
      <c r="H16" s="155" t="s">
        <v>119</v>
      </c>
      <c r="I16" s="154" t="s">
        <v>119</v>
      </c>
      <c r="J16" s="155" t="s">
        <v>119</v>
      </c>
      <c r="K16" s="154" t="s">
        <v>119</v>
      </c>
      <c r="L16" s="153" t="s">
        <v>119</v>
      </c>
      <c r="M16" s="154" t="s">
        <v>119</v>
      </c>
      <c r="N16" s="153" t="s">
        <v>119</v>
      </c>
      <c r="O16" s="154" t="s">
        <v>119</v>
      </c>
      <c r="P16" s="153" t="s">
        <v>119</v>
      </c>
      <c r="Q16" s="154" t="s">
        <v>119</v>
      </c>
    </row>
    <row r="17" spans="1:17" x14ac:dyDescent="0.35">
      <c r="A17" s="151" t="s">
        <v>132</v>
      </c>
      <c r="B17" s="152">
        <v>170</v>
      </c>
      <c r="C17" s="153" t="s">
        <v>119</v>
      </c>
      <c r="D17" s="153" t="s">
        <v>119</v>
      </c>
      <c r="E17" s="154" t="s">
        <v>119</v>
      </c>
      <c r="F17" s="153" t="s">
        <v>119</v>
      </c>
      <c r="G17" s="154" t="s">
        <v>119</v>
      </c>
      <c r="H17" s="155" t="s">
        <v>119</v>
      </c>
      <c r="I17" s="154" t="s">
        <v>119</v>
      </c>
      <c r="J17" s="155" t="s">
        <v>119</v>
      </c>
      <c r="K17" s="154" t="s">
        <v>119</v>
      </c>
      <c r="L17" s="153" t="s">
        <v>119</v>
      </c>
      <c r="M17" s="154" t="s">
        <v>119</v>
      </c>
      <c r="N17" s="153" t="s">
        <v>119</v>
      </c>
      <c r="O17" s="154" t="s">
        <v>119</v>
      </c>
      <c r="P17" s="153" t="s">
        <v>119</v>
      </c>
      <c r="Q17" s="154" t="s">
        <v>119</v>
      </c>
    </row>
    <row r="18" spans="1:17" x14ac:dyDescent="0.35">
      <c r="A18" s="25" t="s">
        <v>133</v>
      </c>
      <c r="B18" s="51">
        <v>150</v>
      </c>
      <c r="C18" s="51">
        <v>3</v>
      </c>
      <c r="D18" s="51">
        <v>3</v>
      </c>
      <c r="E18" s="48">
        <f t="shared" ref="E18:E24" si="3">(D18/$B18)*100</f>
        <v>2</v>
      </c>
      <c r="F18" s="51">
        <v>3</v>
      </c>
      <c r="G18" s="48">
        <f t="shared" ref="G18:G25" si="4">(F18/$B18)*100</f>
        <v>2</v>
      </c>
      <c r="H18" s="7">
        <v>0</v>
      </c>
      <c r="I18" s="48">
        <f t="shared" ref="I18:I25" si="5">(H18/$B18)*100</f>
        <v>0</v>
      </c>
      <c r="J18" s="7">
        <v>0</v>
      </c>
      <c r="K18" s="48">
        <f t="shared" ref="K18:K25" si="6">(J18/$B18)*100</f>
        <v>0</v>
      </c>
      <c r="L18" s="51">
        <v>0</v>
      </c>
      <c r="M18" s="48">
        <f t="shared" ref="M18:M25" si="7">(L18/$B18)*100</f>
        <v>0</v>
      </c>
      <c r="N18" s="51">
        <v>0</v>
      </c>
      <c r="O18" s="48">
        <f t="shared" ref="O18:O25" si="8">(N18/$B18)*100</f>
        <v>0</v>
      </c>
      <c r="P18" s="51">
        <v>0</v>
      </c>
      <c r="Q18" s="48">
        <f t="shared" ref="Q18:Q25" si="9">(P18/$B18)*100</f>
        <v>0</v>
      </c>
    </row>
    <row r="19" spans="1:17" x14ac:dyDescent="0.35">
      <c r="A19" s="25" t="s">
        <v>134</v>
      </c>
      <c r="B19" s="51">
        <v>100</v>
      </c>
      <c r="C19" s="51">
        <v>2</v>
      </c>
      <c r="D19" s="51">
        <v>2</v>
      </c>
      <c r="E19" s="48">
        <f t="shared" si="3"/>
        <v>2</v>
      </c>
      <c r="F19" s="51">
        <v>1</v>
      </c>
      <c r="G19" s="48">
        <f t="shared" si="4"/>
        <v>1</v>
      </c>
      <c r="H19" s="7">
        <v>0</v>
      </c>
      <c r="I19" s="48">
        <f t="shared" si="5"/>
        <v>0</v>
      </c>
      <c r="J19" s="7">
        <v>0</v>
      </c>
      <c r="K19" s="48">
        <f t="shared" si="6"/>
        <v>0</v>
      </c>
      <c r="L19" s="51">
        <v>1</v>
      </c>
      <c r="M19" s="48">
        <f t="shared" si="7"/>
        <v>1</v>
      </c>
      <c r="N19" s="51">
        <v>0</v>
      </c>
      <c r="O19" s="48">
        <f t="shared" si="8"/>
        <v>0</v>
      </c>
      <c r="P19" s="51">
        <v>0</v>
      </c>
      <c r="Q19" s="48">
        <f t="shared" si="9"/>
        <v>0</v>
      </c>
    </row>
    <row r="20" spans="1:17" x14ac:dyDescent="0.35">
      <c r="A20" s="25" t="s">
        <v>135</v>
      </c>
      <c r="B20" s="51">
        <v>33</v>
      </c>
      <c r="C20" s="51">
        <v>1</v>
      </c>
      <c r="D20" s="51">
        <v>0</v>
      </c>
      <c r="E20" s="48">
        <f t="shared" si="3"/>
        <v>0</v>
      </c>
      <c r="F20" s="51">
        <v>0</v>
      </c>
      <c r="G20" s="48">
        <f t="shared" si="4"/>
        <v>0</v>
      </c>
      <c r="H20" s="7">
        <v>0</v>
      </c>
      <c r="I20" s="48">
        <f t="shared" si="5"/>
        <v>0</v>
      </c>
      <c r="J20" s="7">
        <v>0</v>
      </c>
      <c r="K20" s="48">
        <f t="shared" si="6"/>
        <v>0</v>
      </c>
      <c r="L20" s="51">
        <v>0</v>
      </c>
      <c r="M20" s="48">
        <f t="shared" si="7"/>
        <v>0</v>
      </c>
      <c r="N20" s="51">
        <v>0</v>
      </c>
      <c r="O20" s="48">
        <f t="shared" si="8"/>
        <v>0</v>
      </c>
      <c r="P20" s="51">
        <v>0</v>
      </c>
      <c r="Q20" s="48">
        <f t="shared" si="9"/>
        <v>0</v>
      </c>
    </row>
    <row r="21" spans="1:17" x14ac:dyDescent="0.35">
      <c r="A21" s="25" t="s">
        <v>136</v>
      </c>
      <c r="B21" s="51">
        <v>170</v>
      </c>
      <c r="C21" s="51">
        <v>6</v>
      </c>
      <c r="D21" s="51">
        <v>6</v>
      </c>
      <c r="E21" s="48">
        <f t="shared" si="3"/>
        <v>3.5294117647058822</v>
      </c>
      <c r="F21" s="51">
        <v>5</v>
      </c>
      <c r="G21" s="48">
        <f t="shared" si="4"/>
        <v>2.9411764705882351</v>
      </c>
      <c r="H21" s="7">
        <v>0</v>
      </c>
      <c r="I21" s="48">
        <f t="shared" si="5"/>
        <v>0</v>
      </c>
      <c r="J21" s="7">
        <v>0</v>
      </c>
      <c r="K21" s="48">
        <f t="shared" si="6"/>
        <v>0</v>
      </c>
      <c r="L21" s="51">
        <v>1</v>
      </c>
      <c r="M21" s="48">
        <f t="shared" si="7"/>
        <v>0.58823529411764708</v>
      </c>
      <c r="N21" s="51">
        <v>0</v>
      </c>
      <c r="O21" s="48">
        <f t="shared" si="8"/>
        <v>0</v>
      </c>
      <c r="P21" s="51">
        <v>0</v>
      </c>
      <c r="Q21" s="48">
        <f t="shared" si="9"/>
        <v>0</v>
      </c>
    </row>
    <row r="22" spans="1:17" x14ac:dyDescent="0.35">
      <c r="A22" s="25" t="s">
        <v>137</v>
      </c>
      <c r="B22" s="51">
        <v>301</v>
      </c>
      <c r="C22" s="51">
        <v>2</v>
      </c>
      <c r="D22" s="51">
        <v>2</v>
      </c>
      <c r="E22" s="48">
        <f>(D22/$B22)*100</f>
        <v>0.66445182724252494</v>
      </c>
      <c r="F22" s="51">
        <v>2</v>
      </c>
      <c r="G22" s="48">
        <f t="shared" si="4"/>
        <v>0.66445182724252494</v>
      </c>
      <c r="H22" s="7" t="s">
        <v>128</v>
      </c>
      <c r="I22" s="48" t="s">
        <v>119</v>
      </c>
      <c r="J22" s="7" t="s">
        <v>128</v>
      </c>
      <c r="K22" s="48" t="s">
        <v>119</v>
      </c>
      <c r="L22" s="51">
        <v>0</v>
      </c>
      <c r="M22" s="48">
        <f t="shared" si="7"/>
        <v>0</v>
      </c>
      <c r="N22" s="51">
        <v>0</v>
      </c>
      <c r="O22" s="48">
        <f t="shared" si="8"/>
        <v>0</v>
      </c>
      <c r="P22" s="51">
        <v>0</v>
      </c>
      <c r="Q22" s="48">
        <f t="shared" si="9"/>
        <v>0</v>
      </c>
    </row>
    <row r="23" spans="1:17" x14ac:dyDescent="0.35">
      <c r="A23" s="25" t="s">
        <v>138</v>
      </c>
      <c r="B23" s="51">
        <v>175</v>
      </c>
      <c r="C23" s="51">
        <v>5</v>
      </c>
      <c r="D23" s="51">
        <v>4</v>
      </c>
      <c r="E23" s="48">
        <f t="shared" si="3"/>
        <v>2.2857142857142856</v>
      </c>
      <c r="F23" s="51">
        <v>2</v>
      </c>
      <c r="G23" s="48">
        <f t="shared" si="4"/>
        <v>1.1428571428571428</v>
      </c>
      <c r="H23" s="7">
        <v>0</v>
      </c>
      <c r="I23" s="48">
        <f t="shared" si="5"/>
        <v>0</v>
      </c>
      <c r="J23" s="7">
        <v>0</v>
      </c>
      <c r="K23" s="48">
        <f t="shared" si="6"/>
        <v>0</v>
      </c>
      <c r="L23" s="51">
        <v>2</v>
      </c>
      <c r="M23" s="48">
        <f t="shared" si="7"/>
        <v>1.1428571428571428</v>
      </c>
      <c r="N23" s="51">
        <v>0</v>
      </c>
      <c r="O23" s="48">
        <f t="shared" si="8"/>
        <v>0</v>
      </c>
      <c r="P23" s="51">
        <v>0</v>
      </c>
      <c r="Q23" s="48">
        <f t="shared" si="9"/>
        <v>0</v>
      </c>
    </row>
    <row r="24" spans="1:17" x14ac:dyDescent="0.35">
      <c r="A24" s="25" t="s">
        <v>139</v>
      </c>
      <c r="B24" s="51">
        <v>174</v>
      </c>
      <c r="C24" s="51">
        <v>2</v>
      </c>
      <c r="D24" s="51">
        <v>2</v>
      </c>
      <c r="E24" s="48">
        <f t="shared" si="3"/>
        <v>1.1494252873563218</v>
      </c>
      <c r="F24" s="51">
        <v>1</v>
      </c>
      <c r="G24" s="48">
        <f t="shared" si="4"/>
        <v>0.57471264367816088</v>
      </c>
      <c r="H24" s="7">
        <v>0</v>
      </c>
      <c r="I24" s="48">
        <f t="shared" si="5"/>
        <v>0</v>
      </c>
      <c r="J24" s="7">
        <v>0</v>
      </c>
      <c r="K24" s="48">
        <f t="shared" si="6"/>
        <v>0</v>
      </c>
      <c r="L24" s="51">
        <v>0</v>
      </c>
      <c r="M24" s="48">
        <f t="shared" si="7"/>
        <v>0</v>
      </c>
      <c r="N24" s="51">
        <v>1</v>
      </c>
      <c r="O24" s="48">
        <f t="shared" si="8"/>
        <v>0.57471264367816088</v>
      </c>
      <c r="P24" s="51">
        <v>0</v>
      </c>
      <c r="Q24" s="48">
        <f t="shared" si="9"/>
        <v>0</v>
      </c>
    </row>
    <row r="25" spans="1:17" x14ac:dyDescent="0.35">
      <c r="A25" s="25" t="s">
        <v>140</v>
      </c>
      <c r="B25" s="51">
        <v>170</v>
      </c>
      <c r="C25" s="51">
        <v>18</v>
      </c>
      <c r="D25" s="51">
        <v>18</v>
      </c>
      <c r="E25" s="48">
        <f>(D25/$B25)*100</f>
        <v>10.588235294117647</v>
      </c>
      <c r="F25" s="51">
        <v>12</v>
      </c>
      <c r="G25" s="48">
        <f t="shared" si="4"/>
        <v>7.0588235294117645</v>
      </c>
      <c r="H25" s="7">
        <v>0</v>
      </c>
      <c r="I25" s="48">
        <f t="shared" si="5"/>
        <v>0</v>
      </c>
      <c r="J25" s="7">
        <v>0</v>
      </c>
      <c r="K25" s="48">
        <f t="shared" si="6"/>
        <v>0</v>
      </c>
      <c r="L25" s="51">
        <v>6</v>
      </c>
      <c r="M25" s="48">
        <f t="shared" si="7"/>
        <v>3.5294117647058822</v>
      </c>
      <c r="N25" s="51">
        <v>0</v>
      </c>
      <c r="O25" s="48">
        <f t="shared" si="8"/>
        <v>0</v>
      </c>
      <c r="P25" s="51">
        <v>0</v>
      </c>
      <c r="Q25" s="48">
        <f t="shared" si="9"/>
        <v>0</v>
      </c>
    </row>
    <row r="26" spans="1:17" x14ac:dyDescent="0.35">
      <c r="A26" s="151" t="s">
        <v>141</v>
      </c>
      <c r="B26" s="152">
        <v>85</v>
      </c>
      <c r="C26" s="153" t="s">
        <v>119</v>
      </c>
      <c r="D26" s="153" t="s">
        <v>119</v>
      </c>
      <c r="E26" s="154" t="s">
        <v>119</v>
      </c>
      <c r="F26" s="153" t="s">
        <v>119</v>
      </c>
      <c r="G26" s="154" t="s">
        <v>119</v>
      </c>
      <c r="H26" s="155" t="s">
        <v>119</v>
      </c>
      <c r="I26" s="154" t="s">
        <v>119</v>
      </c>
      <c r="J26" s="155" t="s">
        <v>119</v>
      </c>
      <c r="K26" s="154" t="s">
        <v>119</v>
      </c>
      <c r="L26" s="153" t="s">
        <v>119</v>
      </c>
      <c r="M26" s="154" t="s">
        <v>119</v>
      </c>
      <c r="N26" s="153" t="s">
        <v>119</v>
      </c>
      <c r="O26" s="154" t="s">
        <v>119</v>
      </c>
      <c r="P26" s="153" t="s">
        <v>119</v>
      </c>
      <c r="Q26" s="154" t="s">
        <v>119</v>
      </c>
    </row>
    <row r="27" spans="1:17" x14ac:dyDescent="0.35">
      <c r="A27" s="151" t="s">
        <v>142</v>
      </c>
      <c r="B27" s="152">
        <v>85</v>
      </c>
      <c r="C27" s="153" t="s">
        <v>119</v>
      </c>
      <c r="D27" s="153" t="s">
        <v>119</v>
      </c>
      <c r="E27" s="154" t="s">
        <v>119</v>
      </c>
      <c r="F27" s="153" t="s">
        <v>119</v>
      </c>
      <c r="G27" s="154" t="s">
        <v>119</v>
      </c>
      <c r="H27" s="155" t="s">
        <v>119</v>
      </c>
      <c r="I27" s="154" t="s">
        <v>119</v>
      </c>
      <c r="J27" s="155" t="s">
        <v>119</v>
      </c>
      <c r="K27" s="154" t="s">
        <v>119</v>
      </c>
      <c r="L27" s="153" t="s">
        <v>119</v>
      </c>
      <c r="M27" s="154" t="s">
        <v>119</v>
      </c>
      <c r="N27" s="153" t="s">
        <v>119</v>
      </c>
      <c r="O27" s="154" t="s">
        <v>119</v>
      </c>
      <c r="P27" s="153" t="s">
        <v>119</v>
      </c>
      <c r="Q27" s="154" t="s">
        <v>119</v>
      </c>
    </row>
    <row r="28" spans="1:17" x14ac:dyDescent="0.35">
      <c r="A28" s="151" t="s">
        <v>143</v>
      </c>
      <c r="B28" s="152">
        <v>170</v>
      </c>
      <c r="C28" s="153" t="s">
        <v>119</v>
      </c>
      <c r="D28" s="153" t="s">
        <v>119</v>
      </c>
      <c r="E28" s="154" t="s">
        <v>119</v>
      </c>
      <c r="F28" s="153" t="s">
        <v>119</v>
      </c>
      <c r="G28" s="154" t="s">
        <v>119</v>
      </c>
      <c r="H28" s="155" t="s">
        <v>119</v>
      </c>
      <c r="I28" s="154" t="s">
        <v>119</v>
      </c>
      <c r="J28" s="155" t="s">
        <v>119</v>
      </c>
      <c r="K28" s="154" t="s">
        <v>119</v>
      </c>
      <c r="L28" s="153" t="s">
        <v>119</v>
      </c>
      <c r="M28" s="154" t="s">
        <v>119</v>
      </c>
      <c r="N28" s="153" t="s">
        <v>119</v>
      </c>
      <c r="O28" s="154" t="s">
        <v>119</v>
      </c>
      <c r="P28" s="153" t="s">
        <v>119</v>
      </c>
      <c r="Q28" s="154" t="s">
        <v>119</v>
      </c>
    </row>
    <row r="29" spans="1:17" x14ac:dyDescent="0.35">
      <c r="A29" s="151" t="s">
        <v>144</v>
      </c>
      <c r="B29" s="152">
        <v>173</v>
      </c>
      <c r="C29" s="153" t="s">
        <v>119</v>
      </c>
      <c r="D29" s="153" t="s">
        <v>119</v>
      </c>
      <c r="E29" s="154" t="s">
        <v>119</v>
      </c>
      <c r="F29" s="153" t="s">
        <v>119</v>
      </c>
      <c r="G29" s="154" t="s">
        <v>119</v>
      </c>
      <c r="H29" s="166" t="s">
        <v>119</v>
      </c>
      <c r="I29" s="168" t="s">
        <v>119</v>
      </c>
      <c r="J29" s="166" t="s">
        <v>119</v>
      </c>
      <c r="K29" s="168" t="s">
        <v>119</v>
      </c>
      <c r="L29" s="167" t="s">
        <v>119</v>
      </c>
      <c r="M29" s="154" t="s">
        <v>119</v>
      </c>
      <c r="N29" s="153" t="s">
        <v>119</v>
      </c>
      <c r="O29" s="154" t="s">
        <v>119</v>
      </c>
      <c r="P29" s="153" t="s">
        <v>119</v>
      </c>
      <c r="Q29" s="154" t="s">
        <v>119</v>
      </c>
    </row>
    <row r="30" spans="1:17" ht="15" thickBot="1" x14ac:dyDescent="0.4">
      <c r="A30" s="156" t="s">
        <v>145</v>
      </c>
      <c r="B30" s="152">
        <v>170</v>
      </c>
      <c r="C30" s="153" t="s">
        <v>119</v>
      </c>
      <c r="D30" s="153" t="s">
        <v>119</v>
      </c>
      <c r="E30" s="154" t="s">
        <v>119</v>
      </c>
      <c r="F30" s="153" t="s">
        <v>119</v>
      </c>
      <c r="G30" s="154" t="s">
        <v>119</v>
      </c>
      <c r="H30" s="166" t="s">
        <v>119</v>
      </c>
      <c r="I30" s="168" t="s">
        <v>119</v>
      </c>
      <c r="J30" s="166" t="s">
        <v>119</v>
      </c>
      <c r="K30" s="168" t="s">
        <v>119</v>
      </c>
      <c r="L30" s="167" t="s">
        <v>119</v>
      </c>
      <c r="M30" s="154" t="s">
        <v>119</v>
      </c>
      <c r="N30" s="153" t="s">
        <v>119</v>
      </c>
      <c r="O30" s="154" t="s">
        <v>119</v>
      </c>
      <c r="P30" s="153" t="s">
        <v>119</v>
      </c>
      <c r="Q30" s="154" t="s">
        <v>119</v>
      </c>
    </row>
    <row r="31" spans="1:17" ht="15" thickBot="1" x14ac:dyDescent="0.4">
      <c r="A31" s="72" t="s">
        <v>146</v>
      </c>
      <c r="B31" s="73">
        <f>SUM(B3:B30)</f>
        <v>4451</v>
      </c>
      <c r="C31" s="73">
        <f>SUM(C3:C25)</f>
        <v>74</v>
      </c>
      <c r="D31" s="73">
        <f>SUM(D3:D25)</f>
        <v>67</v>
      </c>
      <c r="E31" s="74">
        <f>(D31/$B31)*100</f>
        <v>1.5052797124241744</v>
      </c>
      <c r="F31" s="73">
        <f>SUM(F3:F25)</f>
        <v>51</v>
      </c>
      <c r="G31" s="74">
        <f>(F31/$B31)*100</f>
        <v>1.1458099303527296</v>
      </c>
      <c r="H31" s="90">
        <f>SUM(H3:H25)</f>
        <v>6</v>
      </c>
      <c r="I31" s="81">
        <f>(H31/$B31)*100</f>
        <v>0.13480116827679173</v>
      </c>
      <c r="J31" s="90">
        <f>SUM(J3:J25)</f>
        <v>0</v>
      </c>
      <c r="K31" s="81">
        <f>(J31/$B31)*100</f>
        <v>0</v>
      </c>
      <c r="L31" s="73">
        <f>SUM(L3:L25)</f>
        <v>12</v>
      </c>
      <c r="M31" s="74">
        <f>(L31/$B31)*100</f>
        <v>0.26960233655358345</v>
      </c>
      <c r="N31" s="73">
        <f>SUM(N3:N25)</f>
        <v>4</v>
      </c>
      <c r="O31" s="74">
        <f>(N31/$B31)*100</f>
        <v>8.9867445517861147E-2</v>
      </c>
      <c r="P31" s="73">
        <f>SUM(P3:P25)</f>
        <v>1</v>
      </c>
      <c r="Q31" s="74">
        <f>(P31/$B31)*100</f>
        <v>2.2466861379465287E-2</v>
      </c>
    </row>
    <row r="32" spans="1:17" x14ac:dyDescent="0.35">
      <c r="A32" s="157" t="s">
        <v>147</v>
      </c>
      <c r="B32" s="158">
        <v>85</v>
      </c>
      <c r="C32" s="159" t="s">
        <v>119</v>
      </c>
      <c r="D32" s="159" t="s">
        <v>119</v>
      </c>
      <c r="E32" s="160" t="s">
        <v>119</v>
      </c>
      <c r="F32" s="159" t="s">
        <v>119</v>
      </c>
      <c r="G32" s="160" t="s">
        <v>119</v>
      </c>
      <c r="H32" s="171" t="s">
        <v>119</v>
      </c>
      <c r="I32" s="172" t="s">
        <v>119</v>
      </c>
      <c r="J32" s="171" t="s">
        <v>119</v>
      </c>
      <c r="K32" s="172" t="s">
        <v>119</v>
      </c>
      <c r="L32" s="159" t="s">
        <v>119</v>
      </c>
      <c r="M32" s="160" t="s">
        <v>119</v>
      </c>
      <c r="N32" s="159" t="s">
        <v>119</v>
      </c>
      <c r="O32" s="160" t="s">
        <v>119</v>
      </c>
      <c r="P32" s="159" t="s">
        <v>119</v>
      </c>
      <c r="Q32" s="160" t="s">
        <v>119</v>
      </c>
    </row>
    <row r="33" spans="1:17" x14ac:dyDescent="0.35">
      <c r="A33" s="157" t="s">
        <v>148</v>
      </c>
      <c r="B33" s="158">
        <v>336</v>
      </c>
      <c r="C33" s="153" t="s">
        <v>119</v>
      </c>
      <c r="D33" s="153" t="s">
        <v>119</v>
      </c>
      <c r="E33" s="154" t="s">
        <v>119</v>
      </c>
      <c r="F33" s="153" t="s">
        <v>119</v>
      </c>
      <c r="G33" s="154" t="s">
        <v>119</v>
      </c>
      <c r="H33" s="167" t="s">
        <v>119</v>
      </c>
      <c r="I33" s="168" t="s">
        <v>119</v>
      </c>
      <c r="J33" s="167" t="s">
        <v>119</v>
      </c>
      <c r="K33" s="168" t="s">
        <v>119</v>
      </c>
      <c r="L33" s="153" t="s">
        <v>119</v>
      </c>
      <c r="M33" s="154" t="s">
        <v>119</v>
      </c>
      <c r="N33" s="153" t="s">
        <v>119</v>
      </c>
      <c r="O33" s="154" t="s">
        <v>119</v>
      </c>
      <c r="P33" s="153" t="s">
        <v>119</v>
      </c>
      <c r="Q33" s="154" t="s">
        <v>119</v>
      </c>
    </row>
    <row r="34" spans="1:17" x14ac:dyDescent="0.35">
      <c r="A34" s="157" t="s">
        <v>149</v>
      </c>
      <c r="B34" s="158">
        <v>4</v>
      </c>
      <c r="C34" s="153" t="s">
        <v>119</v>
      </c>
      <c r="D34" s="153" t="s">
        <v>119</v>
      </c>
      <c r="E34" s="154" t="s">
        <v>119</v>
      </c>
      <c r="F34" s="153" t="s">
        <v>119</v>
      </c>
      <c r="G34" s="154" t="s">
        <v>119</v>
      </c>
      <c r="H34" s="167" t="s">
        <v>119</v>
      </c>
      <c r="I34" s="168" t="s">
        <v>119</v>
      </c>
      <c r="J34" s="167" t="s">
        <v>119</v>
      </c>
      <c r="K34" s="168" t="s">
        <v>119</v>
      </c>
      <c r="L34" s="153" t="s">
        <v>119</v>
      </c>
      <c r="M34" s="154" t="s">
        <v>119</v>
      </c>
      <c r="N34" s="153" t="s">
        <v>119</v>
      </c>
      <c r="O34" s="154" t="s">
        <v>119</v>
      </c>
      <c r="P34" s="153" t="s">
        <v>119</v>
      </c>
      <c r="Q34" s="154" t="s">
        <v>119</v>
      </c>
    </row>
    <row r="35" spans="1:17" ht="15" thickBot="1" x14ac:dyDescent="0.4">
      <c r="A35" s="156" t="s">
        <v>150</v>
      </c>
      <c r="B35" s="161">
        <v>195</v>
      </c>
      <c r="C35" s="162" t="s">
        <v>119</v>
      </c>
      <c r="D35" s="162" t="s">
        <v>119</v>
      </c>
      <c r="E35" s="163" t="s">
        <v>119</v>
      </c>
      <c r="F35" s="162" t="s">
        <v>119</v>
      </c>
      <c r="G35" s="163" t="s">
        <v>119</v>
      </c>
      <c r="H35" s="170" t="s">
        <v>119</v>
      </c>
      <c r="I35" s="174" t="s">
        <v>119</v>
      </c>
      <c r="J35" s="170" t="s">
        <v>119</v>
      </c>
      <c r="K35" s="174" t="s">
        <v>119</v>
      </c>
      <c r="L35" s="162" t="s">
        <v>119</v>
      </c>
      <c r="M35" s="163" t="s">
        <v>119</v>
      </c>
      <c r="N35" s="162" t="s">
        <v>119</v>
      </c>
      <c r="O35" s="163" t="s">
        <v>119</v>
      </c>
      <c r="P35" s="162" t="s">
        <v>119</v>
      </c>
      <c r="Q35" s="163" t="s">
        <v>119</v>
      </c>
    </row>
    <row r="36" spans="1:17" ht="15" thickBot="1" x14ac:dyDescent="0.4">
      <c r="A36" s="75" t="s">
        <v>151</v>
      </c>
      <c r="B36" s="73">
        <f>SUM(B32:B35)</f>
        <v>620</v>
      </c>
      <c r="C36" s="73">
        <f t="shared" ref="C36:P36" si="10">SUM(C32:C35)</f>
        <v>0</v>
      </c>
      <c r="D36" s="73">
        <f t="shared" si="10"/>
        <v>0</v>
      </c>
      <c r="E36" s="74">
        <f>(D36/$B36)*100</f>
        <v>0</v>
      </c>
      <c r="F36" s="73">
        <f t="shared" si="10"/>
        <v>0</v>
      </c>
      <c r="G36" s="74">
        <f>(F36/$B36)*100</f>
        <v>0</v>
      </c>
      <c r="H36" s="90" t="s">
        <v>119</v>
      </c>
      <c r="I36" s="81" t="s">
        <v>119</v>
      </c>
      <c r="J36" s="90" t="s">
        <v>119</v>
      </c>
      <c r="K36" s="81" t="s">
        <v>119</v>
      </c>
      <c r="L36" s="73">
        <f t="shared" si="10"/>
        <v>0</v>
      </c>
      <c r="M36" s="74">
        <f>(L36/$B36)*100</f>
        <v>0</v>
      </c>
      <c r="N36" s="73">
        <f t="shared" si="10"/>
        <v>0</v>
      </c>
      <c r="O36" s="74">
        <f>(N36/$B36)*100</f>
        <v>0</v>
      </c>
      <c r="P36" s="73">
        <f t="shared" si="10"/>
        <v>0</v>
      </c>
      <c r="Q36" s="74">
        <f>(P36/$B36)*100</f>
        <v>0</v>
      </c>
    </row>
    <row r="37" spans="1:17" ht="15" thickBot="1" x14ac:dyDescent="0.4">
      <c r="A37" s="75" t="s">
        <v>152</v>
      </c>
      <c r="B37" s="73">
        <f>SUM(B31,B36)</f>
        <v>5071</v>
      </c>
      <c r="C37" s="73">
        <f t="shared" ref="C37:P37" si="11">SUM(C31,C36)</f>
        <v>74</v>
      </c>
      <c r="D37" s="73">
        <f t="shared" si="11"/>
        <v>67</v>
      </c>
      <c r="E37" s="74">
        <f>(D37/$B37)*100</f>
        <v>1.3212384145139027</v>
      </c>
      <c r="F37" s="73">
        <f>SUM(F31,F36)</f>
        <v>51</v>
      </c>
      <c r="G37" s="74">
        <f>(F37/$B37)*100</f>
        <v>1.0057187931374483</v>
      </c>
      <c r="H37" s="90">
        <f>SUM(H31,H36)</f>
        <v>6</v>
      </c>
      <c r="I37" s="81">
        <f>(H37/$B37)*100</f>
        <v>0.11831985801617037</v>
      </c>
      <c r="J37" s="90">
        <f t="shared" si="11"/>
        <v>0</v>
      </c>
      <c r="K37" s="81">
        <f>(J37/$B37)*100</f>
        <v>0</v>
      </c>
      <c r="L37" s="73">
        <f t="shared" si="11"/>
        <v>12</v>
      </c>
      <c r="M37" s="74">
        <f>(L37/$B37)*100</f>
        <v>0.23663971603234074</v>
      </c>
      <c r="N37" s="73">
        <f t="shared" si="11"/>
        <v>4</v>
      </c>
      <c r="O37" s="74">
        <f>(N37/$B37)*100</f>
        <v>7.8879905344113599E-2</v>
      </c>
      <c r="P37" s="73">
        <f t="shared" si="11"/>
        <v>1</v>
      </c>
      <c r="Q37" s="74">
        <f>(P37/$B37)*100</f>
        <v>1.97199763360284E-2</v>
      </c>
    </row>
    <row r="39" spans="1:17" x14ac:dyDescent="0.35">
      <c r="F39" s="137"/>
    </row>
    <row r="40" spans="1:17" x14ac:dyDescent="0.35">
      <c r="B40" s="164"/>
      <c r="C40" s="233" t="s">
        <v>1050</v>
      </c>
      <c r="D40" s="233"/>
      <c r="E40" s="233"/>
      <c r="F40" s="233"/>
      <c r="G40" s="233"/>
      <c r="H40" s="233"/>
      <c r="I40" s="233"/>
      <c r="J40" s="233"/>
      <c r="K40" s="233"/>
      <c r="L40" s="233"/>
    </row>
    <row r="41" spans="1:17" x14ac:dyDescent="0.35">
      <c r="B41" s="165" t="s">
        <v>153</v>
      </c>
      <c r="C41" s="233" t="s">
        <v>1051</v>
      </c>
      <c r="D41" s="233"/>
      <c r="E41" s="233"/>
      <c r="F41" s="233"/>
      <c r="G41" s="233"/>
      <c r="H41" s="233"/>
      <c r="I41" s="233"/>
      <c r="J41" s="233"/>
      <c r="K41" s="233"/>
      <c r="L41" s="233"/>
    </row>
    <row r="43" spans="1:17" x14ac:dyDescent="0.35">
      <c r="A43" s="55"/>
      <c r="B43"/>
      <c r="D43" s="2"/>
      <c r="E43"/>
      <c r="F43" s="2"/>
      <c r="G43"/>
      <c r="H43" s="2"/>
      <c r="I43"/>
      <c r="J43" s="2"/>
      <c r="K43"/>
      <c r="L43" s="2"/>
      <c r="M43"/>
      <c r="N43" s="2"/>
      <c r="O43"/>
      <c r="P43" s="2"/>
      <c r="Q43"/>
    </row>
    <row r="44" spans="1:17" x14ac:dyDescent="0.35">
      <c r="A44" s="55"/>
      <c r="B44"/>
      <c r="D44" s="2"/>
      <c r="E44"/>
      <c r="F44" s="2"/>
      <c r="G44"/>
      <c r="H44" s="2"/>
      <c r="I44"/>
      <c r="J44" s="2"/>
      <c r="K44"/>
      <c r="L44" s="2"/>
      <c r="M44"/>
      <c r="N44" s="2"/>
      <c r="O44"/>
      <c r="P44" s="2"/>
      <c r="Q44"/>
    </row>
    <row r="45" spans="1:17" x14ac:dyDescent="0.35">
      <c r="A45" s="55"/>
      <c r="B45"/>
      <c r="D45" s="2"/>
      <c r="E45"/>
      <c r="F45" s="2"/>
      <c r="G45"/>
      <c r="H45" s="2"/>
      <c r="I45"/>
      <c r="J45" s="2"/>
      <c r="K45"/>
      <c r="L45" s="2"/>
      <c r="M45"/>
      <c r="N45" s="2"/>
      <c r="O45"/>
      <c r="P45" s="2"/>
      <c r="Q45"/>
    </row>
    <row r="46" spans="1:17" x14ac:dyDescent="0.35">
      <c r="A46" s="55"/>
      <c r="B46"/>
      <c r="D46" s="2"/>
      <c r="E46"/>
      <c r="F46" s="2"/>
      <c r="G46"/>
      <c r="H46" s="2"/>
      <c r="I46"/>
      <c r="J46" s="2"/>
      <c r="K46"/>
      <c r="L46" s="2"/>
      <c r="M46"/>
      <c r="N46" s="2"/>
      <c r="O46"/>
      <c r="P46" s="2"/>
      <c r="Q46"/>
    </row>
  </sheetData>
  <mergeCells count="12">
    <mergeCell ref="C41:L41"/>
    <mergeCell ref="J1:K1"/>
    <mergeCell ref="L1:M1"/>
    <mergeCell ref="N1:O1"/>
    <mergeCell ref="P1:Q1"/>
    <mergeCell ref="C40:L40"/>
    <mergeCell ref="A1:A2"/>
    <mergeCell ref="C1:C2"/>
    <mergeCell ref="D1:E1"/>
    <mergeCell ref="F1:G1"/>
    <mergeCell ref="H1:I1"/>
    <mergeCell ref="B1:B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1">
    <tabColor theme="8" tint="0.79998168889431442"/>
  </sheetPr>
  <dimension ref="A1:Q19"/>
  <sheetViews>
    <sheetView zoomScale="80" zoomScaleNormal="80" workbookViewId="0">
      <pane ySplit="2" topLeftCell="A3" activePane="bottomLeft" state="frozen"/>
      <selection pane="bottomLeft" sqref="A1:A2"/>
    </sheetView>
  </sheetViews>
  <sheetFormatPr defaultColWidth="11.453125" defaultRowHeight="14.5" x14ac:dyDescent="0.35"/>
  <cols>
    <col min="1" max="1" width="32.54296875" customWidth="1"/>
    <col min="2" max="3" width="10.6328125" customWidth="1"/>
    <col min="4" max="17" width="12.81640625" customWidth="1"/>
  </cols>
  <sheetData>
    <row r="1" spans="1:17" ht="15" customHeight="1" thickBot="1" x14ac:dyDescent="0.4">
      <c r="A1" s="234" t="s">
        <v>108</v>
      </c>
      <c r="B1" s="229" t="s">
        <v>86</v>
      </c>
      <c r="C1" s="229" t="s">
        <v>87</v>
      </c>
      <c r="D1" s="231" t="s">
        <v>109</v>
      </c>
      <c r="E1" s="231"/>
      <c r="F1" s="232" t="s">
        <v>110</v>
      </c>
      <c r="G1" s="232"/>
      <c r="H1" s="232" t="s">
        <v>111</v>
      </c>
      <c r="I1" s="232"/>
      <c r="J1" s="232" t="s">
        <v>112</v>
      </c>
      <c r="K1" s="232"/>
      <c r="L1" s="232" t="s">
        <v>113</v>
      </c>
      <c r="M1" s="232"/>
      <c r="N1" s="232" t="s">
        <v>114</v>
      </c>
      <c r="O1" s="232"/>
      <c r="P1" s="232" t="s">
        <v>115</v>
      </c>
      <c r="Q1" s="232"/>
    </row>
    <row r="2" spans="1:17" ht="15" thickBot="1" x14ac:dyDescent="0.4">
      <c r="A2" s="235"/>
      <c r="B2" s="230"/>
      <c r="C2" s="230"/>
      <c r="D2" s="131" t="s">
        <v>83</v>
      </c>
      <c r="E2" s="78" t="s">
        <v>94</v>
      </c>
      <c r="F2" s="131" t="s">
        <v>83</v>
      </c>
      <c r="G2" s="78" t="s">
        <v>94</v>
      </c>
      <c r="H2" s="131" t="s">
        <v>83</v>
      </c>
      <c r="I2" s="78" t="s">
        <v>94</v>
      </c>
      <c r="J2" s="131" t="s">
        <v>83</v>
      </c>
      <c r="K2" s="78" t="s">
        <v>94</v>
      </c>
      <c r="L2" s="131" t="s">
        <v>83</v>
      </c>
      <c r="M2" s="78" t="s">
        <v>94</v>
      </c>
      <c r="N2" s="131" t="s">
        <v>83</v>
      </c>
      <c r="O2" s="78" t="s">
        <v>94</v>
      </c>
      <c r="P2" s="131" t="s">
        <v>83</v>
      </c>
      <c r="Q2" s="78" t="s">
        <v>94</v>
      </c>
    </row>
    <row r="3" spans="1:17" x14ac:dyDescent="0.35">
      <c r="A3" s="25" t="s">
        <v>116</v>
      </c>
      <c r="B3" s="71">
        <v>108</v>
      </c>
      <c r="C3" s="51">
        <v>1</v>
      </c>
      <c r="D3" s="51">
        <v>0</v>
      </c>
      <c r="E3" s="48">
        <f>(D3/$B3)*100</f>
        <v>0</v>
      </c>
      <c r="F3" s="51">
        <v>0</v>
      </c>
      <c r="G3" s="48">
        <f>(F3/$B3)*100</f>
        <v>0</v>
      </c>
      <c r="H3" s="46">
        <v>0</v>
      </c>
      <c r="I3" s="48">
        <f>(H3/B3)*100</f>
        <v>0</v>
      </c>
      <c r="J3" s="7">
        <v>0</v>
      </c>
      <c r="K3" s="48">
        <f>(J3/B3)*100</f>
        <v>0</v>
      </c>
      <c r="L3" s="51">
        <v>0</v>
      </c>
      <c r="M3" s="48">
        <f>(L3/$B3)*100</f>
        <v>0</v>
      </c>
      <c r="N3" s="51">
        <v>0</v>
      </c>
      <c r="O3" s="48">
        <f>(N3/$B3)*100</f>
        <v>0</v>
      </c>
      <c r="P3" s="51">
        <v>0</v>
      </c>
      <c r="Q3" s="48">
        <f>(P3/$B3)*100</f>
        <v>0</v>
      </c>
    </row>
    <row r="4" spans="1:17" x14ac:dyDescent="0.35">
      <c r="A4" s="151" t="s">
        <v>120</v>
      </c>
      <c r="B4" s="152">
        <v>82</v>
      </c>
      <c r="C4" s="153" t="s">
        <v>119</v>
      </c>
      <c r="D4" s="153" t="s">
        <v>119</v>
      </c>
      <c r="E4" s="153" t="s">
        <v>119</v>
      </c>
      <c r="F4" s="153" t="s">
        <v>119</v>
      </c>
      <c r="G4" s="153" t="s">
        <v>119</v>
      </c>
      <c r="H4" s="153" t="s">
        <v>119</v>
      </c>
      <c r="I4" s="153" t="s">
        <v>119</v>
      </c>
      <c r="J4" s="153" t="s">
        <v>119</v>
      </c>
      <c r="K4" s="153" t="s">
        <v>119</v>
      </c>
      <c r="L4" s="153" t="s">
        <v>119</v>
      </c>
      <c r="M4" s="153" t="s">
        <v>119</v>
      </c>
      <c r="N4" s="153" t="s">
        <v>119</v>
      </c>
      <c r="O4" s="153" t="s">
        <v>119</v>
      </c>
      <c r="P4" s="153" t="s">
        <v>119</v>
      </c>
      <c r="Q4" s="153" t="s">
        <v>119</v>
      </c>
    </row>
    <row r="5" spans="1:17" x14ac:dyDescent="0.35">
      <c r="A5" s="151" t="s">
        <v>126</v>
      </c>
      <c r="B5" s="152">
        <v>211</v>
      </c>
      <c r="C5" s="153" t="s">
        <v>119</v>
      </c>
      <c r="D5" s="153" t="s">
        <v>119</v>
      </c>
      <c r="E5" s="153" t="s">
        <v>119</v>
      </c>
      <c r="F5" s="153" t="s">
        <v>119</v>
      </c>
      <c r="G5" s="153" t="s">
        <v>119</v>
      </c>
      <c r="H5" s="153" t="s">
        <v>119</v>
      </c>
      <c r="I5" s="153" t="s">
        <v>119</v>
      </c>
      <c r="J5" s="153" t="s">
        <v>119</v>
      </c>
      <c r="K5" s="153" t="s">
        <v>119</v>
      </c>
      <c r="L5" s="153" t="s">
        <v>119</v>
      </c>
      <c r="M5" s="153" t="s">
        <v>119</v>
      </c>
      <c r="N5" s="153" t="s">
        <v>119</v>
      </c>
      <c r="O5" s="153" t="s">
        <v>119</v>
      </c>
      <c r="P5" s="153" t="s">
        <v>119</v>
      </c>
      <c r="Q5" s="153" t="s">
        <v>119</v>
      </c>
    </row>
    <row r="6" spans="1:17" x14ac:dyDescent="0.35">
      <c r="A6" s="151" t="s">
        <v>156</v>
      </c>
      <c r="B6" s="152">
        <v>248</v>
      </c>
      <c r="C6" s="153" t="s">
        <v>119</v>
      </c>
      <c r="D6" s="153" t="s">
        <v>119</v>
      </c>
      <c r="E6" s="153" t="s">
        <v>119</v>
      </c>
      <c r="F6" s="153" t="s">
        <v>119</v>
      </c>
      <c r="G6" s="153" t="s">
        <v>119</v>
      </c>
      <c r="H6" s="153" t="s">
        <v>119</v>
      </c>
      <c r="I6" s="153" t="s">
        <v>119</v>
      </c>
      <c r="J6" s="153" t="s">
        <v>119</v>
      </c>
      <c r="K6" s="153" t="s">
        <v>119</v>
      </c>
      <c r="L6" s="153" t="s">
        <v>119</v>
      </c>
      <c r="M6" s="153" t="s">
        <v>119</v>
      </c>
      <c r="N6" s="153" t="s">
        <v>119</v>
      </c>
      <c r="O6" s="153" t="s">
        <v>119</v>
      </c>
      <c r="P6" s="153" t="s">
        <v>119</v>
      </c>
      <c r="Q6" s="153" t="s">
        <v>119</v>
      </c>
    </row>
    <row r="7" spans="1:17" x14ac:dyDescent="0.35">
      <c r="A7" s="151" t="s">
        <v>130</v>
      </c>
      <c r="B7" s="152">
        <v>182</v>
      </c>
      <c r="C7" s="153" t="s">
        <v>119</v>
      </c>
      <c r="D7" s="153" t="s">
        <v>119</v>
      </c>
      <c r="E7" s="153" t="s">
        <v>119</v>
      </c>
      <c r="F7" s="153" t="s">
        <v>119</v>
      </c>
      <c r="G7" s="153" t="s">
        <v>119</v>
      </c>
      <c r="H7" s="153" t="s">
        <v>119</v>
      </c>
      <c r="I7" s="153" t="s">
        <v>119</v>
      </c>
      <c r="J7" s="153" t="s">
        <v>119</v>
      </c>
      <c r="K7" s="153" t="s">
        <v>119</v>
      </c>
      <c r="L7" s="153" t="s">
        <v>119</v>
      </c>
      <c r="M7" s="153" t="s">
        <v>119</v>
      </c>
      <c r="N7" s="153" t="s">
        <v>119</v>
      </c>
      <c r="O7" s="153" t="s">
        <v>119</v>
      </c>
      <c r="P7" s="153" t="s">
        <v>119</v>
      </c>
      <c r="Q7" s="153" t="s">
        <v>119</v>
      </c>
    </row>
    <row r="8" spans="1:17" x14ac:dyDescent="0.35">
      <c r="A8" s="151" t="s">
        <v>131</v>
      </c>
      <c r="B8" s="152">
        <v>85</v>
      </c>
      <c r="C8" s="153" t="s">
        <v>119</v>
      </c>
      <c r="D8" s="153" t="s">
        <v>119</v>
      </c>
      <c r="E8" s="153" t="s">
        <v>119</v>
      </c>
      <c r="F8" s="153" t="s">
        <v>119</v>
      </c>
      <c r="G8" s="153" t="s">
        <v>119</v>
      </c>
      <c r="H8" s="153" t="s">
        <v>119</v>
      </c>
      <c r="I8" s="153" t="s">
        <v>119</v>
      </c>
      <c r="J8" s="153" t="s">
        <v>119</v>
      </c>
      <c r="K8" s="153" t="s">
        <v>119</v>
      </c>
      <c r="L8" s="153" t="s">
        <v>119</v>
      </c>
      <c r="M8" s="153" t="s">
        <v>119</v>
      </c>
      <c r="N8" s="153" t="s">
        <v>119</v>
      </c>
      <c r="O8" s="153" t="s">
        <v>119</v>
      </c>
      <c r="P8" s="153" t="s">
        <v>119</v>
      </c>
      <c r="Q8" s="153" t="s">
        <v>119</v>
      </c>
    </row>
    <row r="9" spans="1:17" x14ac:dyDescent="0.35">
      <c r="A9" s="25" t="s">
        <v>157</v>
      </c>
      <c r="B9" s="71">
        <v>170</v>
      </c>
      <c r="C9" s="51">
        <v>6</v>
      </c>
      <c r="D9" s="51">
        <v>6</v>
      </c>
      <c r="E9" s="48">
        <f>(D9/$B9)*100</f>
        <v>3.5294117647058822</v>
      </c>
      <c r="F9" s="51">
        <v>6</v>
      </c>
      <c r="G9" s="48">
        <f t="shared" ref="G9:G13" si="0">(F9/$B9)*100</f>
        <v>3.5294117647058822</v>
      </c>
      <c r="H9" s="7" t="s">
        <v>128</v>
      </c>
      <c r="I9" s="48" t="s">
        <v>119</v>
      </c>
      <c r="J9" s="7" t="s">
        <v>128</v>
      </c>
      <c r="K9" s="48" t="s">
        <v>119</v>
      </c>
      <c r="L9" s="51">
        <v>0</v>
      </c>
      <c r="M9" s="48">
        <f t="shared" ref="M9:M13" si="1">(L9/$B9)*100</f>
        <v>0</v>
      </c>
      <c r="N9" s="51">
        <v>0</v>
      </c>
      <c r="O9" s="48">
        <f t="shared" ref="O9:O13" si="2">(N9/$B9)*100</f>
        <v>0</v>
      </c>
      <c r="P9" s="51">
        <v>0</v>
      </c>
      <c r="Q9" s="48">
        <f t="shared" ref="Q9:Q13" si="3">(P9/$B9)*100</f>
        <v>0</v>
      </c>
    </row>
    <row r="10" spans="1:17" x14ac:dyDescent="0.35">
      <c r="A10" s="25" t="s">
        <v>138</v>
      </c>
      <c r="B10" s="71">
        <v>187</v>
      </c>
      <c r="C10" s="51">
        <v>6</v>
      </c>
      <c r="D10" s="51">
        <v>2</v>
      </c>
      <c r="E10" s="48">
        <f t="shared" ref="E10:E13" si="4">(D10/$B10)*100</f>
        <v>1.0695187165775399</v>
      </c>
      <c r="F10" s="51">
        <v>1</v>
      </c>
      <c r="G10" s="48">
        <f t="shared" si="0"/>
        <v>0.53475935828876997</v>
      </c>
      <c r="H10" s="46">
        <v>0</v>
      </c>
      <c r="I10" s="48">
        <f>(H10/B10)*100</f>
        <v>0</v>
      </c>
      <c r="J10" s="7">
        <v>0</v>
      </c>
      <c r="K10" s="48">
        <f>(J10/B10)*100</f>
        <v>0</v>
      </c>
      <c r="L10" s="51">
        <v>1</v>
      </c>
      <c r="M10" s="48">
        <f t="shared" si="1"/>
        <v>0.53475935828876997</v>
      </c>
      <c r="N10" s="51">
        <v>0</v>
      </c>
      <c r="O10" s="48">
        <f t="shared" si="2"/>
        <v>0</v>
      </c>
      <c r="P10" s="51">
        <v>0</v>
      </c>
      <c r="Q10" s="48">
        <f t="shared" si="3"/>
        <v>0</v>
      </c>
    </row>
    <row r="11" spans="1:17" x14ac:dyDescent="0.35">
      <c r="A11" s="25" t="s">
        <v>139</v>
      </c>
      <c r="B11" s="71">
        <v>96</v>
      </c>
      <c r="C11" s="51">
        <v>2</v>
      </c>
      <c r="D11" s="51">
        <v>2</v>
      </c>
      <c r="E11" s="48">
        <f t="shared" si="4"/>
        <v>2.083333333333333</v>
      </c>
      <c r="F11" s="51">
        <v>2</v>
      </c>
      <c r="G11" s="48">
        <f t="shared" si="0"/>
        <v>2.083333333333333</v>
      </c>
      <c r="H11" s="46">
        <v>0</v>
      </c>
      <c r="I11" s="48">
        <f t="shared" ref="I11:I13" si="5">(H11/B11)*100</f>
        <v>0</v>
      </c>
      <c r="J11" s="7">
        <v>0</v>
      </c>
      <c r="K11" s="48">
        <f t="shared" ref="K11:K13" si="6">(J11/B11)*100</f>
        <v>0</v>
      </c>
      <c r="L11" s="51">
        <v>0</v>
      </c>
      <c r="M11" s="48">
        <f t="shared" si="1"/>
        <v>0</v>
      </c>
      <c r="N11" s="51">
        <v>0</v>
      </c>
      <c r="O11" s="48">
        <f t="shared" si="2"/>
        <v>0</v>
      </c>
      <c r="P11" s="51">
        <v>0</v>
      </c>
      <c r="Q11" s="48">
        <f t="shared" si="3"/>
        <v>0</v>
      </c>
    </row>
    <row r="12" spans="1:17" x14ac:dyDescent="0.35">
      <c r="A12" s="25" t="s">
        <v>140</v>
      </c>
      <c r="B12" s="71">
        <v>85</v>
      </c>
      <c r="C12" s="51">
        <v>1</v>
      </c>
      <c r="D12" s="51">
        <v>1</v>
      </c>
      <c r="E12" s="48">
        <f t="shared" si="4"/>
        <v>1.1764705882352942</v>
      </c>
      <c r="F12" s="51">
        <v>1</v>
      </c>
      <c r="G12" s="48">
        <f t="shared" si="0"/>
        <v>1.1764705882352942</v>
      </c>
      <c r="H12" s="46">
        <v>0</v>
      </c>
      <c r="I12" s="48">
        <f t="shared" si="5"/>
        <v>0</v>
      </c>
      <c r="J12" s="7">
        <v>0</v>
      </c>
      <c r="K12" s="48">
        <f t="shared" si="6"/>
        <v>0</v>
      </c>
      <c r="L12" s="51">
        <v>0</v>
      </c>
      <c r="M12" s="48">
        <f t="shared" si="1"/>
        <v>0</v>
      </c>
      <c r="N12" s="51">
        <v>0</v>
      </c>
      <c r="O12" s="48">
        <f t="shared" si="2"/>
        <v>0</v>
      </c>
      <c r="P12" s="51">
        <v>0</v>
      </c>
      <c r="Q12" s="48">
        <f t="shared" si="3"/>
        <v>0</v>
      </c>
    </row>
    <row r="13" spans="1:17" x14ac:dyDescent="0.35">
      <c r="A13" s="25" t="s">
        <v>143</v>
      </c>
      <c r="B13" s="71">
        <v>170</v>
      </c>
      <c r="C13" s="51">
        <v>2</v>
      </c>
      <c r="D13" s="51">
        <v>2</v>
      </c>
      <c r="E13" s="48">
        <f t="shared" si="4"/>
        <v>1.1764705882352942</v>
      </c>
      <c r="F13" s="51">
        <v>2</v>
      </c>
      <c r="G13" s="48">
        <f t="shared" si="0"/>
        <v>1.1764705882352942</v>
      </c>
      <c r="H13" s="46">
        <v>0</v>
      </c>
      <c r="I13" s="48">
        <f t="shared" si="5"/>
        <v>0</v>
      </c>
      <c r="J13" s="7">
        <v>0</v>
      </c>
      <c r="K13" s="48">
        <f t="shared" si="6"/>
        <v>0</v>
      </c>
      <c r="L13" s="51">
        <v>0</v>
      </c>
      <c r="M13" s="48">
        <f t="shared" si="1"/>
        <v>0</v>
      </c>
      <c r="N13" s="51">
        <v>0</v>
      </c>
      <c r="O13" s="48">
        <f t="shared" si="2"/>
        <v>0</v>
      </c>
      <c r="P13" s="51">
        <v>0</v>
      </c>
      <c r="Q13" s="48">
        <f t="shared" si="3"/>
        <v>0</v>
      </c>
    </row>
    <row r="14" spans="1:17" ht="15" thickBot="1" x14ac:dyDescent="0.4">
      <c r="A14" s="151" t="s">
        <v>144</v>
      </c>
      <c r="B14" s="152">
        <v>29</v>
      </c>
      <c r="C14" s="153" t="s">
        <v>119</v>
      </c>
      <c r="D14" s="153" t="s">
        <v>119</v>
      </c>
      <c r="E14" s="154" t="s">
        <v>119</v>
      </c>
      <c r="F14" s="153" t="s">
        <v>119</v>
      </c>
      <c r="G14" s="154" t="s">
        <v>119</v>
      </c>
      <c r="H14" s="155" t="s">
        <v>119</v>
      </c>
      <c r="I14" s="154" t="s">
        <v>119</v>
      </c>
      <c r="J14" s="155" t="s">
        <v>119</v>
      </c>
      <c r="K14" s="154" t="s">
        <v>119</v>
      </c>
      <c r="L14" s="153" t="s">
        <v>119</v>
      </c>
      <c r="M14" s="154" t="s">
        <v>119</v>
      </c>
      <c r="N14" s="153" t="s">
        <v>119</v>
      </c>
      <c r="O14" s="154" t="s">
        <v>119</v>
      </c>
      <c r="P14" s="153" t="s">
        <v>119</v>
      </c>
      <c r="Q14" s="154" t="s">
        <v>119</v>
      </c>
    </row>
    <row r="15" spans="1:17" ht="15" thickBot="1" x14ac:dyDescent="0.4">
      <c r="A15" s="72" t="s">
        <v>158</v>
      </c>
      <c r="B15" s="76">
        <f>SUM(B3:B14)</f>
        <v>1653</v>
      </c>
      <c r="C15" s="73">
        <f>SUM(C3:C13)</f>
        <v>18</v>
      </c>
      <c r="D15" s="73">
        <f>SUM(D3:D13)</f>
        <v>13</v>
      </c>
      <c r="E15" s="74">
        <f>(D15/B15)*100</f>
        <v>0.78644888082274655</v>
      </c>
      <c r="F15" s="73">
        <f>SUM(F3:F13)</f>
        <v>12</v>
      </c>
      <c r="G15" s="74">
        <f>(F15/B15)*100</f>
        <v>0.72595281306715065</v>
      </c>
      <c r="H15" s="73">
        <f>SUM(H3:H13)</f>
        <v>0</v>
      </c>
      <c r="I15" s="74">
        <f>(H15/B15)*100</f>
        <v>0</v>
      </c>
      <c r="J15" s="73">
        <f>SUM(J3:J13)</f>
        <v>0</v>
      </c>
      <c r="K15" s="74">
        <f>(J15/B15)*100</f>
        <v>0</v>
      </c>
      <c r="L15" s="73">
        <f>SUM(L3:L13)</f>
        <v>1</v>
      </c>
      <c r="M15" s="74">
        <f>(L15/B15)*100</f>
        <v>6.0496067755595892E-2</v>
      </c>
      <c r="N15" s="73">
        <f>SUM(N3:N13)</f>
        <v>0</v>
      </c>
      <c r="O15" s="74">
        <f>(N15/B15)*100</f>
        <v>0</v>
      </c>
      <c r="P15" s="73">
        <f>SUM(P3:P13)</f>
        <v>0</v>
      </c>
      <c r="Q15" s="74">
        <f>(P15/B15)*100</f>
        <v>0</v>
      </c>
    </row>
    <row r="16" spans="1:17" ht="15" thickBot="1" x14ac:dyDescent="0.4">
      <c r="A16" s="75" t="s">
        <v>159</v>
      </c>
      <c r="B16" s="131">
        <f>B15</f>
        <v>1653</v>
      </c>
      <c r="C16" s="77">
        <f t="shared" ref="C16:Q16" si="7">C15</f>
        <v>18</v>
      </c>
      <c r="D16" s="77">
        <f t="shared" si="7"/>
        <v>13</v>
      </c>
      <c r="E16" s="78">
        <f t="shared" si="7"/>
        <v>0.78644888082274655</v>
      </c>
      <c r="F16" s="77">
        <f t="shared" si="7"/>
        <v>12</v>
      </c>
      <c r="G16" s="78">
        <f t="shared" si="7"/>
        <v>0.72595281306715065</v>
      </c>
      <c r="H16" s="77">
        <f t="shared" si="7"/>
        <v>0</v>
      </c>
      <c r="I16" s="78">
        <f t="shared" si="7"/>
        <v>0</v>
      </c>
      <c r="J16" s="77">
        <f t="shared" si="7"/>
        <v>0</v>
      </c>
      <c r="K16" s="78">
        <f t="shared" si="7"/>
        <v>0</v>
      </c>
      <c r="L16" s="77">
        <f t="shared" si="7"/>
        <v>1</v>
      </c>
      <c r="M16" s="78">
        <f t="shared" si="7"/>
        <v>6.0496067755595892E-2</v>
      </c>
      <c r="N16" s="77">
        <f t="shared" si="7"/>
        <v>0</v>
      </c>
      <c r="O16" s="78">
        <f t="shared" si="7"/>
        <v>0</v>
      </c>
      <c r="P16" s="77">
        <f t="shared" si="7"/>
        <v>0</v>
      </c>
      <c r="Q16" s="78">
        <f t="shared" si="7"/>
        <v>0</v>
      </c>
    </row>
    <row r="18" spans="2:12" x14ac:dyDescent="0.35">
      <c r="B18" s="164"/>
      <c r="C18" s="233" t="s">
        <v>1050</v>
      </c>
      <c r="D18" s="233"/>
      <c r="E18" s="233"/>
      <c r="F18" s="233"/>
      <c r="G18" s="233"/>
      <c r="H18" s="233"/>
      <c r="I18" s="233"/>
      <c r="J18" s="233"/>
      <c r="K18" s="233"/>
      <c r="L18" s="233"/>
    </row>
    <row r="19" spans="2:12" x14ac:dyDescent="0.35">
      <c r="B19" s="165" t="s">
        <v>153</v>
      </c>
      <c r="C19" s="233" t="s">
        <v>1051</v>
      </c>
      <c r="D19" s="233"/>
      <c r="E19" s="233"/>
      <c r="F19" s="233"/>
      <c r="G19" s="233"/>
      <c r="H19" s="233"/>
      <c r="I19" s="233"/>
      <c r="J19" s="233"/>
      <c r="K19" s="233"/>
      <c r="L19" s="233"/>
    </row>
  </sheetData>
  <mergeCells count="12">
    <mergeCell ref="C18:L18"/>
    <mergeCell ref="C19:L19"/>
    <mergeCell ref="P1:Q1"/>
    <mergeCell ref="A1:A2"/>
    <mergeCell ref="C1:C2"/>
    <mergeCell ref="D1:E1"/>
    <mergeCell ref="F1:G1"/>
    <mergeCell ref="H1:I1"/>
    <mergeCell ref="B1:B2"/>
    <mergeCell ref="J1:K1"/>
    <mergeCell ref="L1:M1"/>
    <mergeCell ref="N1:O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25">
    <tabColor theme="8" tint="0.79998168889431442"/>
  </sheetPr>
  <dimension ref="A1:Q41"/>
  <sheetViews>
    <sheetView zoomScale="80" zoomScaleNormal="80" workbookViewId="0">
      <pane ySplit="2" topLeftCell="A3" activePane="bottomLeft" state="frozen"/>
      <selection pane="bottomLeft" sqref="A1:A2"/>
    </sheetView>
  </sheetViews>
  <sheetFormatPr defaultColWidth="11.453125" defaultRowHeight="14.5" x14ac:dyDescent="0.35"/>
  <cols>
    <col min="1" max="1" width="32.54296875" customWidth="1"/>
    <col min="2" max="2" width="10.6328125" style="6" customWidth="1"/>
    <col min="3" max="3" width="10.6328125" customWidth="1"/>
    <col min="4" max="17" width="12.81640625" customWidth="1"/>
  </cols>
  <sheetData>
    <row r="1" spans="1:17" ht="15" customHeight="1" thickBot="1" x14ac:dyDescent="0.4">
      <c r="A1" s="237" t="s">
        <v>108</v>
      </c>
      <c r="B1" s="239" t="s">
        <v>86</v>
      </c>
      <c r="C1" s="239" t="s">
        <v>87</v>
      </c>
      <c r="D1" s="231" t="s">
        <v>109</v>
      </c>
      <c r="E1" s="231"/>
      <c r="F1" s="236" t="s">
        <v>160</v>
      </c>
      <c r="G1" s="236"/>
      <c r="H1" s="236" t="s">
        <v>161</v>
      </c>
      <c r="I1" s="236"/>
      <c r="J1" s="236" t="s">
        <v>162</v>
      </c>
      <c r="K1" s="236"/>
      <c r="L1" s="236" t="s">
        <v>163</v>
      </c>
      <c r="M1" s="236"/>
      <c r="N1" s="236" t="s">
        <v>164</v>
      </c>
      <c r="O1" s="236"/>
      <c r="P1" s="236" t="s">
        <v>165</v>
      </c>
      <c r="Q1" s="236"/>
    </row>
    <row r="2" spans="1:17" ht="15" thickBot="1" x14ac:dyDescent="0.4">
      <c r="A2" s="238"/>
      <c r="B2" s="231"/>
      <c r="C2" s="231"/>
      <c r="D2" s="85" t="s">
        <v>83</v>
      </c>
      <c r="E2" s="85" t="s">
        <v>94</v>
      </c>
      <c r="F2" s="85" t="s">
        <v>83</v>
      </c>
      <c r="G2" s="85" t="s">
        <v>94</v>
      </c>
      <c r="H2" s="85" t="s">
        <v>83</v>
      </c>
      <c r="I2" s="85" t="s">
        <v>94</v>
      </c>
      <c r="J2" s="85" t="s">
        <v>83</v>
      </c>
      <c r="K2" s="85" t="s">
        <v>94</v>
      </c>
      <c r="L2" s="85" t="s">
        <v>83</v>
      </c>
      <c r="M2" s="85" t="s">
        <v>94</v>
      </c>
      <c r="N2" s="85" t="s">
        <v>83</v>
      </c>
      <c r="O2" s="85" t="s">
        <v>94</v>
      </c>
      <c r="P2" s="85" t="s">
        <v>83</v>
      </c>
      <c r="Q2" s="85" t="s">
        <v>94</v>
      </c>
    </row>
    <row r="3" spans="1:17" x14ac:dyDescent="0.35">
      <c r="A3" t="s">
        <v>116</v>
      </c>
      <c r="B3" s="6">
        <v>172</v>
      </c>
      <c r="C3" s="43">
        <v>4</v>
      </c>
      <c r="D3" s="43">
        <v>3</v>
      </c>
      <c r="E3" s="44">
        <f>(D3/$B3)*100</f>
        <v>1.7441860465116279</v>
      </c>
      <c r="F3" s="43">
        <v>3</v>
      </c>
      <c r="G3" s="44">
        <f>(F3/$B3)*100</f>
        <v>1.7441860465116279</v>
      </c>
      <c r="H3" s="43">
        <v>0</v>
      </c>
      <c r="I3" s="44">
        <f>(H3/$B3)*100</f>
        <v>0</v>
      </c>
      <c r="J3" s="6">
        <v>0</v>
      </c>
      <c r="K3" s="44">
        <f>(J3/$B3)*100</f>
        <v>0</v>
      </c>
      <c r="L3" s="43">
        <v>0</v>
      </c>
      <c r="M3" s="44">
        <f>(L3/$B3)*100</f>
        <v>0</v>
      </c>
      <c r="N3" s="43">
        <v>0</v>
      </c>
      <c r="O3" s="44">
        <f>(N3/$B3)*100</f>
        <v>0</v>
      </c>
      <c r="P3" s="43">
        <v>0</v>
      </c>
      <c r="Q3" s="44">
        <f>(P3/$B3)*100</f>
        <v>0</v>
      </c>
    </row>
    <row r="4" spans="1:17" x14ac:dyDescent="0.35">
      <c r="A4" s="157" t="s">
        <v>117</v>
      </c>
      <c r="B4" s="166">
        <v>176</v>
      </c>
      <c r="C4" s="167" t="s">
        <v>119</v>
      </c>
      <c r="D4" s="167" t="s">
        <v>119</v>
      </c>
      <c r="E4" s="167" t="s">
        <v>119</v>
      </c>
      <c r="F4" s="167" t="s">
        <v>119</v>
      </c>
      <c r="G4" s="167" t="s">
        <v>119</v>
      </c>
      <c r="H4" s="167" t="s">
        <v>119</v>
      </c>
      <c r="I4" s="167" t="s">
        <v>119</v>
      </c>
      <c r="J4" s="167" t="s">
        <v>119</v>
      </c>
      <c r="K4" s="167" t="s">
        <v>119</v>
      </c>
      <c r="L4" s="167" t="s">
        <v>119</v>
      </c>
      <c r="M4" s="167" t="s">
        <v>119</v>
      </c>
      <c r="N4" s="167" t="s">
        <v>119</v>
      </c>
      <c r="O4" s="167" t="s">
        <v>119</v>
      </c>
      <c r="P4" s="167" t="s">
        <v>119</v>
      </c>
      <c r="Q4" s="167" t="s">
        <v>119</v>
      </c>
    </row>
    <row r="5" spans="1:17" x14ac:dyDescent="0.35">
      <c r="A5" s="157" t="s">
        <v>118</v>
      </c>
      <c r="B5" s="166">
        <v>85</v>
      </c>
      <c r="C5" s="167" t="s">
        <v>119</v>
      </c>
      <c r="D5" s="167" t="s">
        <v>119</v>
      </c>
      <c r="E5" s="167" t="s">
        <v>119</v>
      </c>
      <c r="F5" s="167" t="s">
        <v>119</v>
      </c>
      <c r="G5" s="167" t="s">
        <v>119</v>
      </c>
      <c r="H5" s="167" t="s">
        <v>119</v>
      </c>
      <c r="I5" s="167" t="s">
        <v>119</v>
      </c>
      <c r="J5" s="167" t="s">
        <v>119</v>
      </c>
      <c r="K5" s="167" t="s">
        <v>119</v>
      </c>
      <c r="L5" s="167" t="s">
        <v>119</v>
      </c>
      <c r="M5" s="167" t="s">
        <v>119</v>
      </c>
      <c r="N5" s="167" t="s">
        <v>119</v>
      </c>
      <c r="O5" s="167" t="s">
        <v>119</v>
      </c>
      <c r="P5" s="167" t="s">
        <v>119</v>
      </c>
      <c r="Q5" s="167" t="s">
        <v>119</v>
      </c>
    </row>
    <row r="6" spans="1:17" x14ac:dyDescent="0.35">
      <c r="A6" t="s">
        <v>120</v>
      </c>
      <c r="B6" s="6">
        <v>84</v>
      </c>
      <c r="C6" s="43">
        <v>2</v>
      </c>
      <c r="D6" s="43">
        <v>2</v>
      </c>
      <c r="E6" s="44">
        <f t="shared" ref="E6:E28" si="0">(D6/$B6)*100</f>
        <v>2.3809523809523809</v>
      </c>
      <c r="F6" s="43">
        <v>1</v>
      </c>
      <c r="G6" s="44">
        <f t="shared" ref="G6:G28" si="1">(F6/$B6)*100</f>
        <v>1.1904761904761905</v>
      </c>
      <c r="H6" s="43">
        <v>0</v>
      </c>
      <c r="I6" s="44">
        <f t="shared" ref="I6:I11" si="2">(H6/$B6)*100</f>
        <v>0</v>
      </c>
      <c r="J6" s="6">
        <v>0</v>
      </c>
      <c r="K6" s="44">
        <f t="shared" ref="K6:K11" si="3">(J6/$B6)*100</f>
        <v>0</v>
      </c>
      <c r="L6" s="43">
        <v>1</v>
      </c>
      <c r="M6" s="44">
        <f t="shared" ref="M6:M28" si="4">(L6/$B6)*100</f>
        <v>1.1904761904761905</v>
      </c>
      <c r="N6" s="43">
        <v>0</v>
      </c>
      <c r="O6" s="44">
        <f t="shared" ref="O6:O28" si="5">(N6/$B6)*100</f>
        <v>0</v>
      </c>
      <c r="P6" s="43">
        <v>0</v>
      </c>
      <c r="Q6" s="44">
        <f t="shared" ref="Q6:Q28" si="6">(P6/$B6)*100</f>
        <v>0</v>
      </c>
    </row>
    <row r="7" spans="1:17" x14ac:dyDescent="0.35">
      <c r="A7" t="s">
        <v>121</v>
      </c>
      <c r="B7" s="6">
        <v>32</v>
      </c>
      <c r="C7" s="43">
        <v>4</v>
      </c>
      <c r="D7" s="43">
        <v>4</v>
      </c>
      <c r="E7" s="44">
        <f t="shared" si="0"/>
        <v>12.5</v>
      </c>
      <c r="F7" s="43">
        <v>4</v>
      </c>
      <c r="G7" s="44">
        <f t="shared" si="1"/>
        <v>12.5</v>
      </c>
      <c r="H7" s="43">
        <v>1</v>
      </c>
      <c r="I7" s="44">
        <f t="shared" si="2"/>
        <v>3.125</v>
      </c>
      <c r="J7" s="6">
        <v>0</v>
      </c>
      <c r="K7" s="44">
        <f t="shared" si="3"/>
        <v>0</v>
      </c>
      <c r="L7" s="43">
        <v>0</v>
      </c>
      <c r="M7" s="44">
        <f t="shared" si="4"/>
        <v>0</v>
      </c>
      <c r="N7" s="43">
        <v>0</v>
      </c>
      <c r="O7" s="44">
        <f t="shared" si="5"/>
        <v>0</v>
      </c>
      <c r="P7" s="43">
        <v>0</v>
      </c>
      <c r="Q7" s="44">
        <f t="shared" si="6"/>
        <v>0</v>
      </c>
    </row>
    <row r="8" spans="1:17" x14ac:dyDescent="0.35">
      <c r="A8" t="s">
        <v>122</v>
      </c>
      <c r="B8" s="6">
        <v>180</v>
      </c>
      <c r="C8" s="43">
        <v>7</v>
      </c>
      <c r="D8" s="43">
        <v>7</v>
      </c>
      <c r="E8" s="44">
        <f t="shared" si="0"/>
        <v>3.8888888888888888</v>
      </c>
      <c r="F8" s="43">
        <v>4</v>
      </c>
      <c r="G8" s="44">
        <f t="shared" si="1"/>
        <v>2.2222222222222223</v>
      </c>
      <c r="H8" s="43">
        <v>1</v>
      </c>
      <c r="I8" s="44">
        <f t="shared" si="2"/>
        <v>0.55555555555555558</v>
      </c>
      <c r="J8" s="6">
        <v>0</v>
      </c>
      <c r="K8" s="44">
        <f t="shared" si="3"/>
        <v>0</v>
      </c>
      <c r="L8" s="43">
        <v>3</v>
      </c>
      <c r="M8" s="44">
        <f t="shared" si="4"/>
        <v>1.6666666666666667</v>
      </c>
      <c r="N8" s="43">
        <v>0</v>
      </c>
      <c r="O8" s="44">
        <f t="shared" si="5"/>
        <v>0</v>
      </c>
      <c r="P8" s="43">
        <v>0</v>
      </c>
      <c r="Q8" s="44">
        <f t="shared" si="6"/>
        <v>0</v>
      </c>
    </row>
    <row r="9" spans="1:17" x14ac:dyDescent="0.35">
      <c r="A9" t="s">
        <v>123</v>
      </c>
      <c r="B9" s="6">
        <v>172</v>
      </c>
      <c r="C9" s="43">
        <v>2</v>
      </c>
      <c r="D9" s="43">
        <v>1</v>
      </c>
      <c r="E9" s="44">
        <f t="shared" si="0"/>
        <v>0.58139534883720934</v>
      </c>
      <c r="F9" s="43">
        <v>0</v>
      </c>
      <c r="G9" s="44">
        <f t="shared" si="1"/>
        <v>0</v>
      </c>
      <c r="H9" s="43">
        <v>0</v>
      </c>
      <c r="I9" s="44">
        <f t="shared" si="2"/>
        <v>0</v>
      </c>
      <c r="J9" s="6">
        <v>0</v>
      </c>
      <c r="K9" s="44">
        <f t="shared" si="3"/>
        <v>0</v>
      </c>
      <c r="L9" s="43">
        <v>1</v>
      </c>
      <c r="M9" s="44">
        <f t="shared" si="4"/>
        <v>0.58139534883720934</v>
      </c>
      <c r="N9" s="43">
        <v>0</v>
      </c>
      <c r="O9" s="44">
        <f t="shared" si="5"/>
        <v>0</v>
      </c>
      <c r="P9" s="43">
        <v>0</v>
      </c>
      <c r="Q9" s="44">
        <f t="shared" si="6"/>
        <v>0</v>
      </c>
    </row>
    <row r="10" spans="1:17" x14ac:dyDescent="0.35">
      <c r="A10" t="s">
        <v>124</v>
      </c>
      <c r="B10" s="6">
        <v>151</v>
      </c>
      <c r="C10" s="43">
        <v>1</v>
      </c>
      <c r="D10" s="43">
        <v>0</v>
      </c>
      <c r="E10" s="44">
        <f t="shared" si="0"/>
        <v>0</v>
      </c>
      <c r="F10" s="43">
        <v>0</v>
      </c>
      <c r="G10" s="44">
        <f t="shared" si="1"/>
        <v>0</v>
      </c>
      <c r="H10" s="43">
        <v>0</v>
      </c>
      <c r="I10" s="44">
        <f t="shared" si="2"/>
        <v>0</v>
      </c>
      <c r="J10" s="6">
        <v>0</v>
      </c>
      <c r="K10" s="44">
        <f t="shared" si="3"/>
        <v>0</v>
      </c>
      <c r="L10" s="43">
        <v>0</v>
      </c>
      <c r="M10" s="44">
        <f t="shared" si="4"/>
        <v>0</v>
      </c>
      <c r="N10" s="43">
        <v>0</v>
      </c>
      <c r="O10" s="44">
        <f t="shared" si="5"/>
        <v>0</v>
      </c>
      <c r="P10" s="43">
        <v>0</v>
      </c>
      <c r="Q10" s="44">
        <f t="shared" si="6"/>
        <v>0</v>
      </c>
    </row>
    <row r="11" spans="1:17" x14ac:dyDescent="0.35">
      <c r="A11" t="s">
        <v>125</v>
      </c>
      <c r="B11" s="6">
        <v>170</v>
      </c>
      <c r="C11" s="43">
        <v>1</v>
      </c>
      <c r="D11" s="43">
        <v>0</v>
      </c>
      <c r="E11" s="44">
        <f t="shared" si="0"/>
        <v>0</v>
      </c>
      <c r="F11" s="43">
        <v>0</v>
      </c>
      <c r="G11" s="44">
        <f t="shared" si="1"/>
        <v>0</v>
      </c>
      <c r="H11" s="43">
        <v>0</v>
      </c>
      <c r="I11" s="44">
        <f t="shared" si="2"/>
        <v>0</v>
      </c>
      <c r="J11" s="6">
        <v>0</v>
      </c>
      <c r="K11" s="44">
        <f t="shared" si="3"/>
        <v>0</v>
      </c>
      <c r="L11" s="43">
        <v>0</v>
      </c>
      <c r="M11" s="44">
        <f t="shared" si="4"/>
        <v>0</v>
      </c>
      <c r="N11" s="43">
        <v>0</v>
      </c>
      <c r="O11" s="44">
        <f t="shared" si="5"/>
        <v>0</v>
      </c>
      <c r="P11" s="43">
        <v>0</v>
      </c>
      <c r="Q11" s="44">
        <f t="shared" si="6"/>
        <v>0</v>
      </c>
    </row>
    <row r="12" spans="1:17" x14ac:dyDescent="0.35">
      <c r="A12" s="157" t="s">
        <v>126</v>
      </c>
      <c r="B12" s="166">
        <v>191</v>
      </c>
      <c r="C12" s="167" t="s">
        <v>119</v>
      </c>
      <c r="D12" s="167" t="s">
        <v>119</v>
      </c>
      <c r="E12" s="167" t="s">
        <v>119</v>
      </c>
      <c r="F12" s="167" t="s">
        <v>119</v>
      </c>
      <c r="G12" s="167" t="s">
        <v>119</v>
      </c>
      <c r="H12" s="167" t="s">
        <v>119</v>
      </c>
      <c r="I12" s="167" t="s">
        <v>119</v>
      </c>
      <c r="J12" s="167" t="s">
        <v>119</v>
      </c>
      <c r="K12" s="167" t="s">
        <v>119</v>
      </c>
      <c r="L12" s="167" t="s">
        <v>119</v>
      </c>
      <c r="M12" s="167" t="s">
        <v>119</v>
      </c>
      <c r="N12" s="167" t="s">
        <v>119</v>
      </c>
      <c r="O12" s="167" t="s">
        <v>119</v>
      </c>
      <c r="P12" s="167" t="s">
        <v>119</v>
      </c>
      <c r="Q12" s="167" t="s">
        <v>119</v>
      </c>
    </row>
    <row r="13" spans="1:17" x14ac:dyDescent="0.35">
      <c r="A13" t="s">
        <v>127</v>
      </c>
      <c r="B13" s="6">
        <v>195</v>
      </c>
      <c r="C13" s="43">
        <v>2</v>
      </c>
      <c r="D13" s="43">
        <v>2</v>
      </c>
      <c r="E13" s="44">
        <f t="shared" si="0"/>
        <v>1.0256410256410255</v>
      </c>
      <c r="F13" s="43">
        <v>1</v>
      </c>
      <c r="G13" s="44">
        <f t="shared" si="1"/>
        <v>0.51282051282051277</v>
      </c>
      <c r="H13" s="6" t="s">
        <v>128</v>
      </c>
      <c r="I13" s="44" t="s">
        <v>119</v>
      </c>
      <c r="J13" s="6" t="s">
        <v>128</v>
      </c>
      <c r="K13" s="44" t="s">
        <v>119</v>
      </c>
      <c r="L13" s="43">
        <v>1</v>
      </c>
      <c r="M13" s="44">
        <f t="shared" si="4"/>
        <v>0.51282051282051277</v>
      </c>
      <c r="N13" s="43">
        <v>0</v>
      </c>
      <c r="O13" s="44">
        <f t="shared" si="5"/>
        <v>0</v>
      </c>
      <c r="P13" s="43">
        <v>0</v>
      </c>
      <c r="Q13" s="44">
        <f t="shared" si="6"/>
        <v>0</v>
      </c>
    </row>
    <row r="14" spans="1:17" x14ac:dyDescent="0.35">
      <c r="A14" t="s">
        <v>129</v>
      </c>
      <c r="B14" s="6">
        <v>68</v>
      </c>
      <c r="C14" s="43">
        <v>1</v>
      </c>
      <c r="D14" s="43">
        <v>1</v>
      </c>
      <c r="E14" s="44">
        <f t="shared" si="0"/>
        <v>1.4705882352941175</v>
      </c>
      <c r="F14" s="43">
        <v>1</v>
      </c>
      <c r="G14" s="44">
        <f t="shared" si="1"/>
        <v>1.4705882352941175</v>
      </c>
      <c r="H14" s="43">
        <v>0</v>
      </c>
      <c r="I14" s="44">
        <f t="shared" ref="I14:I16" si="7">(H14/$B14)*100</f>
        <v>0</v>
      </c>
      <c r="J14" s="6">
        <v>0</v>
      </c>
      <c r="K14" s="44">
        <f t="shared" ref="K14:K16" si="8">(J14/$B14)*100</f>
        <v>0</v>
      </c>
      <c r="L14" s="43">
        <v>0</v>
      </c>
      <c r="M14" s="44">
        <f t="shared" si="4"/>
        <v>0</v>
      </c>
      <c r="N14" s="43">
        <v>0</v>
      </c>
      <c r="O14" s="44">
        <f t="shared" si="5"/>
        <v>0</v>
      </c>
      <c r="P14" s="43">
        <v>0</v>
      </c>
      <c r="Q14" s="44">
        <f t="shared" si="6"/>
        <v>0</v>
      </c>
    </row>
    <row r="15" spans="1:17" x14ac:dyDescent="0.35">
      <c r="A15" t="s">
        <v>130</v>
      </c>
      <c r="B15" s="6">
        <v>170</v>
      </c>
      <c r="C15" s="43">
        <v>2</v>
      </c>
      <c r="D15" s="43">
        <v>1</v>
      </c>
      <c r="E15" s="44">
        <f t="shared" si="0"/>
        <v>0.58823529411764708</v>
      </c>
      <c r="F15" s="43">
        <v>0</v>
      </c>
      <c r="G15" s="44">
        <f t="shared" si="1"/>
        <v>0</v>
      </c>
      <c r="H15" s="43">
        <v>0</v>
      </c>
      <c r="I15" s="44">
        <f t="shared" si="7"/>
        <v>0</v>
      </c>
      <c r="J15" s="6">
        <v>0</v>
      </c>
      <c r="K15" s="44">
        <f t="shared" si="8"/>
        <v>0</v>
      </c>
      <c r="L15" s="43">
        <v>1</v>
      </c>
      <c r="M15" s="44">
        <f t="shared" si="4"/>
        <v>0.58823529411764708</v>
      </c>
      <c r="N15" s="43">
        <v>0</v>
      </c>
      <c r="O15" s="44">
        <f t="shared" si="5"/>
        <v>0</v>
      </c>
      <c r="P15" s="43">
        <v>0</v>
      </c>
      <c r="Q15" s="44">
        <f t="shared" si="6"/>
        <v>0</v>
      </c>
    </row>
    <row r="16" spans="1:17" x14ac:dyDescent="0.35">
      <c r="A16" t="s">
        <v>131</v>
      </c>
      <c r="B16" s="6">
        <v>170</v>
      </c>
      <c r="C16" s="43">
        <v>1</v>
      </c>
      <c r="D16" s="43">
        <v>0</v>
      </c>
      <c r="E16" s="44">
        <f t="shared" si="0"/>
        <v>0</v>
      </c>
      <c r="F16" s="43">
        <v>0</v>
      </c>
      <c r="G16" s="44">
        <f t="shared" si="1"/>
        <v>0</v>
      </c>
      <c r="H16" s="43">
        <v>0</v>
      </c>
      <c r="I16" s="44">
        <f t="shared" si="7"/>
        <v>0</v>
      </c>
      <c r="J16" s="6">
        <v>0</v>
      </c>
      <c r="K16" s="44">
        <f t="shared" si="8"/>
        <v>0</v>
      </c>
      <c r="L16" s="43">
        <v>0</v>
      </c>
      <c r="M16" s="44">
        <f t="shared" si="4"/>
        <v>0</v>
      </c>
      <c r="N16" s="43">
        <v>0</v>
      </c>
      <c r="O16" s="44">
        <f t="shared" si="5"/>
        <v>0</v>
      </c>
      <c r="P16" s="43">
        <v>0</v>
      </c>
      <c r="Q16" s="44">
        <f t="shared" si="6"/>
        <v>0</v>
      </c>
    </row>
    <row r="17" spans="1:17" x14ac:dyDescent="0.35">
      <c r="A17" t="s">
        <v>157</v>
      </c>
      <c r="B17" s="6">
        <v>170</v>
      </c>
      <c r="C17" s="43">
        <v>4</v>
      </c>
      <c r="D17" s="43">
        <v>4</v>
      </c>
      <c r="E17" s="44">
        <f t="shared" si="0"/>
        <v>2.3529411764705883</v>
      </c>
      <c r="F17" s="43">
        <v>2</v>
      </c>
      <c r="G17" s="44">
        <f t="shared" si="1"/>
        <v>1.1764705882352942</v>
      </c>
      <c r="H17" s="6" t="s">
        <v>128</v>
      </c>
      <c r="I17" s="44" t="s">
        <v>119</v>
      </c>
      <c r="J17" s="6" t="s">
        <v>128</v>
      </c>
      <c r="K17" s="44" t="s">
        <v>119</v>
      </c>
      <c r="L17" s="43">
        <v>2</v>
      </c>
      <c r="M17" s="44">
        <f t="shared" si="4"/>
        <v>1.1764705882352942</v>
      </c>
      <c r="N17" s="43">
        <v>0</v>
      </c>
      <c r="O17" s="44">
        <f t="shared" si="5"/>
        <v>0</v>
      </c>
      <c r="P17" s="43">
        <v>0</v>
      </c>
      <c r="Q17" s="44">
        <f t="shared" si="6"/>
        <v>0</v>
      </c>
    </row>
    <row r="18" spans="1:17" x14ac:dyDescent="0.35">
      <c r="A18" t="s">
        <v>133</v>
      </c>
      <c r="B18" s="6">
        <v>150</v>
      </c>
      <c r="C18" s="43">
        <v>5</v>
      </c>
      <c r="D18" s="43">
        <v>5</v>
      </c>
      <c r="E18" s="44">
        <f t="shared" si="0"/>
        <v>3.3333333333333335</v>
      </c>
      <c r="F18" s="43">
        <v>5</v>
      </c>
      <c r="G18" s="44">
        <f t="shared" si="1"/>
        <v>3.3333333333333335</v>
      </c>
      <c r="H18" s="43">
        <v>1</v>
      </c>
      <c r="I18" s="44">
        <f>(H18/$B18)*100</f>
        <v>0.66666666666666674</v>
      </c>
      <c r="J18" s="6">
        <v>0</v>
      </c>
      <c r="K18" s="44">
        <f>(J18/$B18)*100</f>
        <v>0</v>
      </c>
      <c r="L18" s="43">
        <v>0</v>
      </c>
      <c r="M18" s="44">
        <f t="shared" si="4"/>
        <v>0</v>
      </c>
      <c r="N18" s="43">
        <v>0</v>
      </c>
      <c r="O18" s="44">
        <f t="shared" si="5"/>
        <v>0</v>
      </c>
      <c r="P18" s="43">
        <v>0</v>
      </c>
      <c r="Q18" s="44">
        <f t="shared" si="6"/>
        <v>0</v>
      </c>
    </row>
    <row r="19" spans="1:17" x14ac:dyDescent="0.35">
      <c r="A19" s="157" t="s">
        <v>134</v>
      </c>
      <c r="B19" s="166">
        <v>100</v>
      </c>
      <c r="C19" s="167" t="s">
        <v>119</v>
      </c>
      <c r="D19" s="167" t="s">
        <v>119</v>
      </c>
      <c r="E19" s="167" t="s">
        <v>119</v>
      </c>
      <c r="F19" s="167" t="s">
        <v>119</v>
      </c>
      <c r="G19" s="167" t="s">
        <v>119</v>
      </c>
      <c r="H19" s="167" t="s">
        <v>119</v>
      </c>
      <c r="I19" s="167" t="s">
        <v>119</v>
      </c>
      <c r="J19" s="167" t="s">
        <v>119</v>
      </c>
      <c r="K19" s="167" t="s">
        <v>119</v>
      </c>
      <c r="L19" s="167" t="s">
        <v>119</v>
      </c>
      <c r="M19" s="167" t="s">
        <v>119</v>
      </c>
      <c r="N19" s="167" t="s">
        <v>119</v>
      </c>
      <c r="O19" s="167" t="s">
        <v>119</v>
      </c>
      <c r="P19" s="167" t="s">
        <v>119</v>
      </c>
      <c r="Q19" s="167" t="s">
        <v>119</v>
      </c>
    </row>
    <row r="20" spans="1:17" x14ac:dyDescent="0.35">
      <c r="A20" s="157" t="s">
        <v>135</v>
      </c>
      <c r="B20" s="166">
        <v>168</v>
      </c>
      <c r="C20" s="167" t="s">
        <v>119</v>
      </c>
      <c r="D20" s="167" t="s">
        <v>119</v>
      </c>
      <c r="E20" s="167" t="s">
        <v>119</v>
      </c>
      <c r="F20" s="167" t="s">
        <v>119</v>
      </c>
      <c r="G20" s="167" t="s">
        <v>119</v>
      </c>
      <c r="H20" s="167" t="s">
        <v>119</v>
      </c>
      <c r="I20" s="167" t="s">
        <v>119</v>
      </c>
      <c r="J20" s="167" t="s">
        <v>119</v>
      </c>
      <c r="K20" s="167" t="s">
        <v>119</v>
      </c>
      <c r="L20" s="167" t="s">
        <v>119</v>
      </c>
      <c r="M20" s="167" t="s">
        <v>119</v>
      </c>
      <c r="N20" s="167" t="s">
        <v>119</v>
      </c>
      <c r="O20" s="167" t="s">
        <v>119</v>
      </c>
      <c r="P20" s="167" t="s">
        <v>119</v>
      </c>
      <c r="Q20" s="167" t="s">
        <v>119</v>
      </c>
    </row>
    <row r="21" spans="1:17" x14ac:dyDescent="0.35">
      <c r="A21" t="s">
        <v>136</v>
      </c>
      <c r="B21" s="6">
        <v>208</v>
      </c>
      <c r="C21" s="43">
        <v>1</v>
      </c>
      <c r="D21" s="43">
        <v>1</v>
      </c>
      <c r="E21" s="44">
        <f t="shared" si="0"/>
        <v>0.48076923076923078</v>
      </c>
      <c r="F21" s="43">
        <v>1</v>
      </c>
      <c r="G21" s="44">
        <f t="shared" si="1"/>
        <v>0.48076923076923078</v>
      </c>
      <c r="H21" s="43">
        <v>0</v>
      </c>
      <c r="I21" s="44">
        <f>(H21/$B21)*100</f>
        <v>0</v>
      </c>
      <c r="J21" s="6">
        <v>0</v>
      </c>
      <c r="K21" s="44">
        <f>(J21/$B21)*100</f>
        <v>0</v>
      </c>
      <c r="L21" s="43">
        <v>0</v>
      </c>
      <c r="M21" s="44">
        <f t="shared" si="4"/>
        <v>0</v>
      </c>
      <c r="N21" s="43">
        <v>0</v>
      </c>
      <c r="O21" s="44">
        <f t="shared" si="5"/>
        <v>0</v>
      </c>
      <c r="P21" s="43">
        <v>0</v>
      </c>
      <c r="Q21" s="44">
        <f t="shared" si="6"/>
        <v>0</v>
      </c>
    </row>
    <row r="22" spans="1:17" x14ac:dyDescent="0.35">
      <c r="A22" s="157" t="s">
        <v>166</v>
      </c>
      <c r="B22" s="166">
        <v>300</v>
      </c>
      <c r="C22" s="167" t="s">
        <v>119</v>
      </c>
      <c r="D22" s="167" t="s">
        <v>119</v>
      </c>
      <c r="E22" s="167" t="s">
        <v>119</v>
      </c>
      <c r="F22" s="167" t="s">
        <v>119</v>
      </c>
      <c r="G22" s="167" t="s">
        <v>119</v>
      </c>
      <c r="H22" s="167" t="s">
        <v>119</v>
      </c>
      <c r="I22" s="167" t="s">
        <v>119</v>
      </c>
      <c r="J22" s="167" t="s">
        <v>119</v>
      </c>
      <c r="K22" s="167" t="s">
        <v>119</v>
      </c>
      <c r="L22" s="167" t="s">
        <v>119</v>
      </c>
      <c r="M22" s="167" t="s">
        <v>119</v>
      </c>
      <c r="N22" s="167" t="s">
        <v>119</v>
      </c>
      <c r="O22" s="167" t="s">
        <v>119</v>
      </c>
      <c r="P22" s="167" t="s">
        <v>119</v>
      </c>
      <c r="Q22" s="167" t="s">
        <v>119</v>
      </c>
    </row>
    <row r="23" spans="1:17" x14ac:dyDescent="0.35">
      <c r="A23" t="s">
        <v>138</v>
      </c>
      <c r="B23" s="6">
        <v>221</v>
      </c>
      <c r="C23" s="43">
        <v>3</v>
      </c>
      <c r="D23" s="43">
        <v>2</v>
      </c>
      <c r="E23" s="44">
        <f t="shared" si="0"/>
        <v>0.90497737556561098</v>
      </c>
      <c r="F23" s="43">
        <v>2</v>
      </c>
      <c r="G23" s="44">
        <f t="shared" si="1"/>
        <v>0.90497737556561098</v>
      </c>
      <c r="H23" s="43">
        <v>1</v>
      </c>
      <c r="I23" s="44">
        <f t="shared" ref="I23:I25" si="9">(H23/$B23)*100</f>
        <v>0.45248868778280549</v>
      </c>
      <c r="J23" s="6">
        <v>0</v>
      </c>
      <c r="K23" s="44">
        <f t="shared" ref="K23:K25" si="10">(J23/$B23)*100</f>
        <v>0</v>
      </c>
      <c r="L23" s="43">
        <v>0</v>
      </c>
      <c r="M23" s="44">
        <f t="shared" si="4"/>
        <v>0</v>
      </c>
      <c r="N23" s="43">
        <v>0</v>
      </c>
      <c r="O23" s="44">
        <f t="shared" si="5"/>
        <v>0</v>
      </c>
      <c r="P23" s="43">
        <v>0</v>
      </c>
      <c r="Q23" s="44">
        <f t="shared" si="6"/>
        <v>0</v>
      </c>
    </row>
    <row r="24" spans="1:17" x14ac:dyDescent="0.35">
      <c r="A24" t="s">
        <v>139</v>
      </c>
      <c r="B24" s="6">
        <v>182</v>
      </c>
      <c r="C24" s="43">
        <v>5</v>
      </c>
      <c r="D24" s="43">
        <v>4</v>
      </c>
      <c r="E24" s="44">
        <f t="shared" si="0"/>
        <v>2.197802197802198</v>
      </c>
      <c r="F24" s="43">
        <v>4</v>
      </c>
      <c r="G24" s="44">
        <f t="shared" si="1"/>
        <v>2.197802197802198</v>
      </c>
      <c r="H24" s="43">
        <v>2</v>
      </c>
      <c r="I24" s="44">
        <f t="shared" si="9"/>
        <v>1.098901098901099</v>
      </c>
      <c r="J24" s="6">
        <v>0</v>
      </c>
      <c r="K24" s="44">
        <f t="shared" si="10"/>
        <v>0</v>
      </c>
      <c r="L24" s="43">
        <v>0</v>
      </c>
      <c r="M24" s="44">
        <f t="shared" si="4"/>
        <v>0</v>
      </c>
      <c r="N24" s="43">
        <v>0</v>
      </c>
      <c r="O24" s="44">
        <f t="shared" si="5"/>
        <v>0</v>
      </c>
      <c r="P24" s="43">
        <v>0</v>
      </c>
      <c r="Q24" s="44">
        <f t="shared" si="6"/>
        <v>0</v>
      </c>
    </row>
    <row r="25" spans="1:17" x14ac:dyDescent="0.35">
      <c r="A25" t="s">
        <v>140</v>
      </c>
      <c r="B25" s="6">
        <v>169</v>
      </c>
      <c r="C25" s="43">
        <v>10</v>
      </c>
      <c r="D25" s="43">
        <v>9</v>
      </c>
      <c r="E25" s="44">
        <f t="shared" si="0"/>
        <v>5.3254437869822491</v>
      </c>
      <c r="F25" s="43">
        <v>7</v>
      </c>
      <c r="G25" s="44">
        <f t="shared" si="1"/>
        <v>4.1420118343195274</v>
      </c>
      <c r="H25" s="43">
        <v>0</v>
      </c>
      <c r="I25" s="44">
        <f t="shared" si="9"/>
        <v>0</v>
      </c>
      <c r="J25" s="6">
        <v>0</v>
      </c>
      <c r="K25" s="44">
        <f t="shared" si="10"/>
        <v>0</v>
      </c>
      <c r="L25" s="43">
        <v>2</v>
      </c>
      <c r="M25" s="44">
        <f t="shared" si="4"/>
        <v>1.1834319526627219</v>
      </c>
      <c r="N25" s="43">
        <v>0</v>
      </c>
      <c r="O25" s="44">
        <f t="shared" si="5"/>
        <v>0</v>
      </c>
      <c r="P25" s="43">
        <v>0</v>
      </c>
      <c r="Q25" s="44">
        <f t="shared" si="6"/>
        <v>0</v>
      </c>
    </row>
    <row r="26" spans="1:17" x14ac:dyDescent="0.35">
      <c r="A26" s="157" t="s">
        <v>141</v>
      </c>
      <c r="B26" s="166">
        <v>85</v>
      </c>
      <c r="C26" s="167" t="s">
        <v>119</v>
      </c>
      <c r="D26" s="167" t="s">
        <v>119</v>
      </c>
      <c r="E26" s="167" t="s">
        <v>119</v>
      </c>
      <c r="F26" s="167" t="s">
        <v>119</v>
      </c>
      <c r="G26" s="167" t="s">
        <v>119</v>
      </c>
      <c r="H26" s="167" t="s">
        <v>119</v>
      </c>
      <c r="I26" s="167" t="s">
        <v>119</v>
      </c>
      <c r="J26" s="167" t="s">
        <v>119</v>
      </c>
      <c r="K26" s="167" t="s">
        <v>119</v>
      </c>
      <c r="L26" s="167" t="s">
        <v>119</v>
      </c>
      <c r="M26" s="167" t="s">
        <v>119</v>
      </c>
      <c r="N26" s="167" t="s">
        <v>119</v>
      </c>
      <c r="O26" s="167" t="s">
        <v>119</v>
      </c>
      <c r="P26" s="167" t="s">
        <v>119</v>
      </c>
      <c r="Q26" s="167" t="s">
        <v>119</v>
      </c>
    </row>
    <row r="27" spans="1:17" x14ac:dyDescent="0.35">
      <c r="A27" t="s">
        <v>142</v>
      </c>
      <c r="B27" s="6">
        <v>85</v>
      </c>
      <c r="C27" s="43">
        <v>3</v>
      </c>
      <c r="D27" s="43">
        <v>3</v>
      </c>
      <c r="E27" s="44">
        <f t="shared" si="0"/>
        <v>3.5294117647058822</v>
      </c>
      <c r="F27" s="43">
        <v>2</v>
      </c>
      <c r="G27" s="44">
        <f t="shared" si="1"/>
        <v>2.3529411764705883</v>
      </c>
      <c r="H27" s="43">
        <v>1</v>
      </c>
      <c r="I27" s="44">
        <f t="shared" ref="I27:I28" si="11">(H27/$B27)*100</f>
        <v>1.1764705882352942</v>
      </c>
      <c r="J27" s="6">
        <v>0</v>
      </c>
      <c r="K27" s="44">
        <f t="shared" ref="K27:K28" si="12">(J27/$B27)*100</f>
        <v>0</v>
      </c>
      <c r="L27" s="43">
        <v>1</v>
      </c>
      <c r="M27" s="44">
        <f t="shared" si="4"/>
        <v>1.1764705882352942</v>
      </c>
      <c r="N27" s="43">
        <v>0</v>
      </c>
      <c r="O27" s="44">
        <f t="shared" si="5"/>
        <v>0</v>
      </c>
      <c r="P27" s="43">
        <v>0</v>
      </c>
      <c r="Q27" s="44">
        <f t="shared" si="6"/>
        <v>0</v>
      </c>
    </row>
    <row r="28" spans="1:17" x14ac:dyDescent="0.35">
      <c r="A28" t="s">
        <v>143</v>
      </c>
      <c r="B28" s="6">
        <v>170</v>
      </c>
      <c r="C28" s="43">
        <v>1</v>
      </c>
      <c r="D28" s="43">
        <v>1</v>
      </c>
      <c r="E28" s="44">
        <f t="shared" si="0"/>
        <v>0.58823529411764708</v>
      </c>
      <c r="F28" s="43">
        <v>1</v>
      </c>
      <c r="G28" s="44">
        <f t="shared" si="1"/>
        <v>0.58823529411764708</v>
      </c>
      <c r="H28" s="43">
        <v>1</v>
      </c>
      <c r="I28" s="44">
        <f t="shared" si="11"/>
        <v>0.58823529411764708</v>
      </c>
      <c r="J28" s="6">
        <v>0</v>
      </c>
      <c r="K28" s="44">
        <f t="shared" si="12"/>
        <v>0</v>
      </c>
      <c r="L28" s="43">
        <v>0</v>
      </c>
      <c r="M28" s="44">
        <f t="shared" si="4"/>
        <v>0</v>
      </c>
      <c r="N28" s="43">
        <v>0</v>
      </c>
      <c r="O28" s="44">
        <f t="shared" si="5"/>
        <v>0</v>
      </c>
      <c r="P28" s="43">
        <v>0</v>
      </c>
      <c r="Q28" s="44">
        <f t="shared" si="6"/>
        <v>0</v>
      </c>
    </row>
    <row r="29" spans="1:17" x14ac:dyDescent="0.35">
      <c r="A29" s="157" t="s">
        <v>144</v>
      </c>
      <c r="B29" s="166">
        <v>174</v>
      </c>
      <c r="C29" s="167" t="s">
        <v>119</v>
      </c>
      <c r="D29" s="167" t="s">
        <v>119</v>
      </c>
      <c r="E29" s="168" t="s">
        <v>119</v>
      </c>
      <c r="F29" s="167" t="s">
        <v>119</v>
      </c>
      <c r="G29" s="168" t="s">
        <v>119</v>
      </c>
      <c r="H29" s="167" t="s">
        <v>119</v>
      </c>
      <c r="I29" s="168" t="s">
        <v>119</v>
      </c>
      <c r="J29" s="166" t="s">
        <v>119</v>
      </c>
      <c r="K29" s="168" t="s">
        <v>119</v>
      </c>
      <c r="L29" s="167" t="s">
        <v>119</v>
      </c>
      <c r="M29" s="168" t="s">
        <v>119</v>
      </c>
      <c r="N29" s="167" t="s">
        <v>119</v>
      </c>
      <c r="O29" s="168" t="s">
        <v>119</v>
      </c>
      <c r="P29" s="167" t="s">
        <v>119</v>
      </c>
      <c r="Q29" s="168" t="s">
        <v>119</v>
      </c>
    </row>
    <row r="30" spans="1:17" ht="15" thickBot="1" x14ac:dyDescent="0.4">
      <c r="A30" s="156" t="s">
        <v>145</v>
      </c>
      <c r="B30" s="169">
        <v>170</v>
      </c>
      <c r="C30" s="170" t="s">
        <v>119</v>
      </c>
      <c r="D30" s="167" t="s">
        <v>119</v>
      </c>
      <c r="E30" s="168" t="s">
        <v>119</v>
      </c>
      <c r="F30" s="167" t="s">
        <v>119</v>
      </c>
      <c r="G30" s="168" t="s">
        <v>119</v>
      </c>
      <c r="H30" s="167" t="s">
        <v>119</v>
      </c>
      <c r="I30" s="168" t="s">
        <v>119</v>
      </c>
      <c r="J30" s="166" t="s">
        <v>119</v>
      </c>
      <c r="K30" s="168" t="s">
        <v>119</v>
      </c>
      <c r="L30" s="167" t="s">
        <v>119</v>
      </c>
      <c r="M30" s="168" t="s">
        <v>119</v>
      </c>
      <c r="N30" s="167" t="s">
        <v>119</v>
      </c>
      <c r="O30" s="168" t="s">
        <v>119</v>
      </c>
      <c r="P30" s="167" t="s">
        <v>119</v>
      </c>
      <c r="Q30" s="168" t="s">
        <v>119</v>
      </c>
    </row>
    <row r="31" spans="1:17" ht="15" thickBot="1" x14ac:dyDescent="0.4">
      <c r="A31" s="79" t="s">
        <v>167</v>
      </c>
      <c r="B31" s="85">
        <f>SUM(B3:B30)</f>
        <v>4368</v>
      </c>
      <c r="C31" s="93">
        <f>SUM(C3:C28)</f>
        <v>59</v>
      </c>
      <c r="D31" s="90">
        <f>SUM(D3:D28)</f>
        <v>50</v>
      </c>
      <c r="E31" s="81">
        <f>(D31/$B31)*100</f>
        <v>1.1446886446886446</v>
      </c>
      <c r="F31" s="90">
        <f>SUM(F3:F28)</f>
        <v>38</v>
      </c>
      <c r="G31" s="81">
        <f>(F31/$B31)*100</f>
        <v>0.86996336996336998</v>
      </c>
      <c r="H31" s="90">
        <f>SUM(H3:H28)</f>
        <v>8</v>
      </c>
      <c r="I31" s="81">
        <f>(H31/$B31)*100</f>
        <v>0.18315018315018314</v>
      </c>
      <c r="J31" s="82">
        <f>SUM(J3:J28)</f>
        <v>0</v>
      </c>
      <c r="K31" s="81">
        <f>(J31/$B31)*100</f>
        <v>0</v>
      </c>
      <c r="L31" s="90">
        <f>SUM(L3:L28)</f>
        <v>12</v>
      </c>
      <c r="M31" s="81">
        <f>(L31/$B31)*100</f>
        <v>0.27472527472527475</v>
      </c>
      <c r="N31" s="90">
        <f>SUM(N3:N28)</f>
        <v>0</v>
      </c>
      <c r="O31" s="81">
        <f>(N31/$B31)*100</f>
        <v>0</v>
      </c>
      <c r="P31" s="90">
        <f>SUM(P3:P28)</f>
        <v>0</v>
      </c>
      <c r="Q31" s="82">
        <f>(P31/C31)*100</f>
        <v>0</v>
      </c>
    </row>
    <row r="32" spans="1:17" x14ac:dyDescent="0.35">
      <c r="A32" s="157" t="s">
        <v>147</v>
      </c>
      <c r="B32" s="166">
        <v>85</v>
      </c>
      <c r="C32" s="167" t="s">
        <v>119</v>
      </c>
      <c r="D32" s="171" t="s">
        <v>119</v>
      </c>
      <c r="E32" s="172" t="s">
        <v>119</v>
      </c>
      <c r="F32" s="171" t="s">
        <v>119</v>
      </c>
      <c r="G32" s="172" t="s">
        <v>119</v>
      </c>
      <c r="H32" s="171" t="s">
        <v>119</v>
      </c>
      <c r="I32" s="172" t="s">
        <v>119</v>
      </c>
      <c r="J32" s="173" t="s">
        <v>119</v>
      </c>
      <c r="K32" s="172" t="s">
        <v>119</v>
      </c>
      <c r="L32" s="171" t="s">
        <v>119</v>
      </c>
      <c r="M32" s="172" t="s">
        <v>119</v>
      </c>
      <c r="N32" s="171" t="s">
        <v>119</v>
      </c>
      <c r="O32" s="172" t="s">
        <v>119</v>
      </c>
      <c r="P32" s="171" t="s">
        <v>119</v>
      </c>
      <c r="Q32" s="173" t="s">
        <v>119</v>
      </c>
    </row>
    <row r="33" spans="1:17" x14ac:dyDescent="0.35">
      <c r="A33" t="s">
        <v>168</v>
      </c>
      <c r="B33" s="6">
        <v>41</v>
      </c>
      <c r="C33" s="43">
        <v>1</v>
      </c>
      <c r="D33" s="43">
        <v>1</v>
      </c>
      <c r="E33" s="44">
        <f>(D33/$B33)*100</f>
        <v>2.4390243902439024</v>
      </c>
      <c r="F33" s="43">
        <v>1</v>
      </c>
      <c r="G33" s="44">
        <f>(F33/$B33)*100</f>
        <v>2.4390243902439024</v>
      </c>
      <c r="H33" s="6">
        <v>0</v>
      </c>
      <c r="I33" s="44">
        <f>(H33/$B33)*100</f>
        <v>0</v>
      </c>
      <c r="J33" s="6">
        <v>0</v>
      </c>
      <c r="K33" s="44">
        <f>(J33/$B33)*100</f>
        <v>0</v>
      </c>
      <c r="L33" s="43">
        <v>0</v>
      </c>
      <c r="M33" s="44">
        <f>(L33/$B33)*100</f>
        <v>0</v>
      </c>
      <c r="N33" s="43">
        <v>0</v>
      </c>
      <c r="O33" s="44">
        <f>(N33/$B33)*100</f>
        <v>0</v>
      </c>
      <c r="P33" s="43">
        <v>0</v>
      </c>
      <c r="Q33" s="44">
        <f>(P33/$B33)*100</f>
        <v>0</v>
      </c>
    </row>
    <row r="34" spans="1:17" x14ac:dyDescent="0.35">
      <c r="A34" t="s">
        <v>169</v>
      </c>
      <c r="B34" s="6">
        <v>330</v>
      </c>
      <c r="C34" s="43">
        <v>1</v>
      </c>
      <c r="D34" s="43">
        <v>1</v>
      </c>
      <c r="E34" s="44">
        <f>(D34/$B34)*100</f>
        <v>0.30303030303030304</v>
      </c>
      <c r="F34" s="43">
        <v>0</v>
      </c>
      <c r="G34" s="44">
        <f>(F34/$B34)*100</f>
        <v>0</v>
      </c>
      <c r="H34" s="6" t="s">
        <v>128</v>
      </c>
      <c r="I34" s="44" t="s">
        <v>128</v>
      </c>
      <c r="J34" s="6" t="s">
        <v>128</v>
      </c>
      <c r="K34" s="6" t="s">
        <v>128</v>
      </c>
      <c r="L34" s="43">
        <v>1</v>
      </c>
      <c r="M34" s="44">
        <f>(L34/$B34)*100</f>
        <v>0.30303030303030304</v>
      </c>
      <c r="N34" s="43">
        <v>0</v>
      </c>
      <c r="O34" s="44">
        <f>(N34/$B34)*100</f>
        <v>0</v>
      </c>
      <c r="P34" s="43">
        <v>0</v>
      </c>
      <c r="Q34" s="44">
        <f>(P34/$B34)*100</f>
        <v>0</v>
      </c>
    </row>
    <row r="35" spans="1:17" x14ac:dyDescent="0.35">
      <c r="A35" s="157" t="s">
        <v>149</v>
      </c>
      <c r="B35" s="166">
        <v>26</v>
      </c>
      <c r="C35" s="167" t="s">
        <v>119</v>
      </c>
      <c r="D35" s="167" t="s">
        <v>119</v>
      </c>
      <c r="E35" s="168" t="s">
        <v>119</v>
      </c>
      <c r="F35" s="167" t="s">
        <v>119</v>
      </c>
      <c r="G35" s="168" t="s">
        <v>119</v>
      </c>
      <c r="H35" s="166" t="s">
        <v>119</v>
      </c>
      <c r="I35" s="168" t="s">
        <v>119</v>
      </c>
      <c r="J35" s="166" t="s">
        <v>119</v>
      </c>
      <c r="K35" s="166" t="s">
        <v>119</v>
      </c>
      <c r="L35" s="167" t="s">
        <v>119</v>
      </c>
      <c r="M35" s="168" t="s">
        <v>119</v>
      </c>
      <c r="N35" s="167" t="s">
        <v>119</v>
      </c>
      <c r="O35" s="168" t="s">
        <v>119</v>
      </c>
      <c r="P35" s="167" t="s">
        <v>119</v>
      </c>
      <c r="Q35" s="168" t="s">
        <v>119</v>
      </c>
    </row>
    <row r="36" spans="1:17" ht="15" thickBot="1" x14ac:dyDescent="0.4">
      <c r="A36" s="156" t="s">
        <v>150</v>
      </c>
      <c r="B36" s="169">
        <v>201</v>
      </c>
      <c r="C36" s="170" t="s">
        <v>119</v>
      </c>
      <c r="D36" s="170" t="s">
        <v>119</v>
      </c>
      <c r="E36" s="174" t="s">
        <v>119</v>
      </c>
      <c r="F36" s="170" t="s">
        <v>119</v>
      </c>
      <c r="G36" s="174" t="s">
        <v>119</v>
      </c>
      <c r="H36" s="169" t="s">
        <v>119</v>
      </c>
      <c r="I36" s="174" t="s">
        <v>119</v>
      </c>
      <c r="J36" s="169" t="s">
        <v>119</v>
      </c>
      <c r="K36" s="169" t="s">
        <v>119</v>
      </c>
      <c r="L36" s="170" t="s">
        <v>119</v>
      </c>
      <c r="M36" s="174" t="s">
        <v>119</v>
      </c>
      <c r="N36" s="170" t="s">
        <v>119</v>
      </c>
      <c r="O36" s="174" t="s">
        <v>119</v>
      </c>
      <c r="P36" s="170" t="s">
        <v>119</v>
      </c>
      <c r="Q36" s="174" t="s">
        <v>119</v>
      </c>
    </row>
    <row r="37" spans="1:17" ht="15" thickBot="1" x14ac:dyDescent="0.4">
      <c r="A37" s="79" t="s">
        <v>170</v>
      </c>
      <c r="B37" s="85">
        <f>SUM(B32:B36)</f>
        <v>683</v>
      </c>
      <c r="C37" s="93">
        <v>2</v>
      </c>
      <c r="D37" s="93">
        <v>2</v>
      </c>
      <c r="E37" s="81">
        <f>(D37/$B37)*100</f>
        <v>0.29282576866764276</v>
      </c>
      <c r="F37" s="90">
        <v>1</v>
      </c>
      <c r="G37" s="81">
        <f>(F37/$B37)*100</f>
        <v>0.14641288433382138</v>
      </c>
      <c r="H37" s="93">
        <f>SUM(H33:H34)</f>
        <v>0</v>
      </c>
      <c r="I37" s="81">
        <f>(H37/$B37)*100</f>
        <v>0</v>
      </c>
      <c r="J37" s="85">
        <v>0</v>
      </c>
      <c r="K37" s="81">
        <f>(J37/$B37)*100</f>
        <v>0</v>
      </c>
      <c r="L37" s="93">
        <v>1</v>
      </c>
      <c r="M37" s="81">
        <f>(L37/$B37)*100</f>
        <v>0.14641288433382138</v>
      </c>
      <c r="N37" s="93">
        <v>0</v>
      </c>
      <c r="O37" s="81">
        <f>(N37/$B37)*100</f>
        <v>0</v>
      </c>
      <c r="P37" s="93">
        <v>0</v>
      </c>
      <c r="Q37" s="81">
        <f>(P37/$B37)*100</f>
        <v>0</v>
      </c>
    </row>
    <row r="38" spans="1:17" ht="15" thickBot="1" x14ac:dyDescent="0.4">
      <c r="A38" s="79" t="s">
        <v>171</v>
      </c>
      <c r="B38" s="85">
        <f>SUM(B31,B37)</f>
        <v>5051</v>
      </c>
      <c r="C38" s="93">
        <f>C31+C37</f>
        <v>61</v>
      </c>
      <c r="D38" s="93">
        <f>D31+D37</f>
        <v>52</v>
      </c>
      <c r="E38" s="94">
        <f>(D38/$B38)*100</f>
        <v>1.0294991090873093</v>
      </c>
      <c r="F38" s="93">
        <f>F31+F37</f>
        <v>39</v>
      </c>
      <c r="G38" s="94">
        <f>(F38/$B38)*100</f>
        <v>0.77212433181548212</v>
      </c>
      <c r="H38" s="93">
        <f>H31+H37</f>
        <v>8</v>
      </c>
      <c r="I38" s="81">
        <f>(H38/$B38)*100</f>
        <v>0.15838447832112454</v>
      </c>
      <c r="J38" s="85">
        <f>J31+J37</f>
        <v>0</v>
      </c>
      <c r="K38" s="81">
        <f>(J38/$B38)*100</f>
        <v>0</v>
      </c>
      <c r="L38" s="93">
        <f>L31+L37</f>
        <v>13</v>
      </c>
      <c r="M38" s="94">
        <f>(L38/$B38)*100</f>
        <v>0.25737477727182734</v>
      </c>
      <c r="N38" s="93">
        <f>N31+N37</f>
        <v>0</v>
      </c>
      <c r="O38" s="94">
        <f>(N38/$B38)*100</f>
        <v>0</v>
      </c>
      <c r="P38" s="93">
        <f>P31+P37</f>
        <v>0</v>
      </c>
      <c r="Q38" s="94">
        <f>(P38/$B38)*100</f>
        <v>0</v>
      </c>
    </row>
    <row r="39" spans="1:17" x14ac:dyDescent="0.35">
      <c r="A39" s="8"/>
      <c r="B39" s="5"/>
    </row>
    <row r="40" spans="1:17" x14ac:dyDescent="0.35">
      <c r="B40" s="164"/>
      <c r="C40" s="233" t="s">
        <v>1050</v>
      </c>
      <c r="D40" s="233"/>
      <c r="E40" s="233"/>
      <c r="F40" s="233"/>
      <c r="G40" s="233"/>
      <c r="H40" s="233"/>
      <c r="I40" s="233"/>
      <c r="J40" s="233"/>
      <c r="K40" s="233"/>
      <c r="L40" s="233"/>
    </row>
    <row r="41" spans="1:17" x14ac:dyDescent="0.35">
      <c r="B41" s="165" t="s">
        <v>153</v>
      </c>
      <c r="C41" s="233" t="s">
        <v>1051</v>
      </c>
      <c r="D41" s="233"/>
      <c r="E41" s="233"/>
      <c r="F41" s="233"/>
      <c r="G41" s="233"/>
      <c r="H41" s="233"/>
      <c r="I41" s="233"/>
      <c r="J41" s="233"/>
      <c r="K41" s="233"/>
      <c r="L41" s="233"/>
    </row>
  </sheetData>
  <mergeCells count="12">
    <mergeCell ref="C40:L40"/>
    <mergeCell ref="C41:L41"/>
    <mergeCell ref="P1:Q1"/>
    <mergeCell ref="A1:A2"/>
    <mergeCell ref="C1:C2"/>
    <mergeCell ref="D1:E1"/>
    <mergeCell ref="F1:G1"/>
    <mergeCell ref="H1:I1"/>
    <mergeCell ref="B1:B2"/>
    <mergeCell ref="J1:K1"/>
    <mergeCell ref="L1:M1"/>
    <mergeCell ref="N1:O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26">
    <tabColor theme="8" tint="0.79998168889431442"/>
  </sheetPr>
  <dimension ref="A1:Q34"/>
  <sheetViews>
    <sheetView zoomScale="80" zoomScaleNormal="80" workbookViewId="0">
      <pane ySplit="2" topLeftCell="A3" activePane="bottomLeft" state="frozen"/>
      <selection pane="bottomLeft" activeCell="E31" sqref="E31"/>
    </sheetView>
  </sheetViews>
  <sheetFormatPr defaultColWidth="11.453125" defaultRowHeight="14.5" x14ac:dyDescent="0.35"/>
  <cols>
    <col min="1" max="1" width="32.54296875" customWidth="1"/>
    <col min="2" max="2" width="18.08984375" customWidth="1"/>
    <col min="4" max="17" width="12.81640625" customWidth="1"/>
  </cols>
  <sheetData>
    <row r="1" spans="1:17" ht="15" customHeight="1" thickBot="1" x14ac:dyDescent="0.4">
      <c r="A1" s="237" t="s">
        <v>108</v>
      </c>
      <c r="B1" s="239" t="s">
        <v>86</v>
      </c>
      <c r="C1" s="239" t="s">
        <v>87</v>
      </c>
      <c r="D1" s="231" t="s">
        <v>109</v>
      </c>
      <c r="E1" s="231"/>
      <c r="F1" s="236" t="s">
        <v>160</v>
      </c>
      <c r="G1" s="236"/>
      <c r="H1" s="236" t="s">
        <v>161</v>
      </c>
      <c r="I1" s="236"/>
      <c r="J1" s="236" t="s">
        <v>162</v>
      </c>
      <c r="K1" s="236"/>
      <c r="L1" s="236" t="s">
        <v>163</v>
      </c>
      <c r="M1" s="236"/>
      <c r="N1" s="236" t="s">
        <v>164</v>
      </c>
      <c r="O1" s="236"/>
      <c r="P1" s="236" t="s">
        <v>165</v>
      </c>
      <c r="Q1" s="236"/>
    </row>
    <row r="2" spans="1:17" ht="15" thickBot="1" x14ac:dyDescent="0.4">
      <c r="A2" s="238"/>
      <c r="B2" s="231"/>
      <c r="C2" s="231"/>
      <c r="D2" s="85" t="s">
        <v>83</v>
      </c>
      <c r="E2" s="85" t="s">
        <v>94</v>
      </c>
      <c r="F2" s="85" t="s">
        <v>83</v>
      </c>
      <c r="G2" s="85" t="s">
        <v>94</v>
      </c>
      <c r="H2" s="85" t="s">
        <v>83</v>
      </c>
      <c r="I2" s="85" t="s">
        <v>94</v>
      </c>
      <c r="J2" s="85" t="s">
        <v>83</v>
      </c>
      <c r="K2" s="85" t="s">
        <v>94</v>
      </c>
      <c r="L2" s="85" t="s">
        <v>83</v>
      </c>
      <c r="M2" s="85" t="s">
        <v>94</v>
      </c>
      <c r="N2" s="85" t="s">
        <v>83</v>
      </c>
      <c r="O2" s="85" t="s">
        <v>94</v>
      </c>
      <c r="P2" s="85" t="s">
        <v>83</v>
      </c>
      <c r="Q2" s="85" t="s">
        <v>94</v>
      </c>
    </row>
    <row r="3" spans="1:17" x14ac:dyDescent="0.35">
      <c r="A3" t="s">
        <v>116</v>
      </c>
      <c r="B3" s="6">
        <v>181</v>
      </c>
      <c r="C3" s="43">
        <v>2</v>
      </c>
      <c r="D3" s="43">
        <v>2</v>
      </c>
      <c r="E3" s="44">
        <f>(D3/$B3)*100</f>
        <v>1.1049723756906076</v>
      </c>
      <c r="F3" s="43">
        <v>1</v>
      </c>
      <c r="G3" s="44">
        <f>(F3/$B3)*100</f>
        <v>0.55248618784530379</v>
      </c>
      <c r="H3" s="43">
        <v>0</v>
      </c>
      <c r="I3" s="44">
        <f>(H3/B3)*100</f>
        <v>0</v>
      </c>
      <c r="J3" s="6">
        <v>0</v>
      </c>
      <c r="K3" s="44">
        <f>(J3/B3)*100</f>
        <v>0</v>
      </c>
      <c r="L3" s="43">
        <v>1</v>
      </c>
      <c r="M3" s="44">
        <f>(L3/$B3)*100</f>
        <v>0.55248618784530379</v>
      </c>
      <c r="N3" s="43">
        <v>0</v>
      </c>
      <c r="O3" s="44">
        <f>(N3/$B3)*100</f>
        <v>0</v>
      </c>
      <c r="P3" s="43">
        <v>0</v>
      </c>
      <c r="Q3" s="44">
        <f>(P3/$B3)*100</f>
        <v>0</v>
      </c>
    </row>
    <row r="4" spans="1:17" x14ac:dyDescent="0.35">
      <c r="A4" s="157" t="s">
        <v>117</v>
      </c>
      <c r="B4" s="166">
        <v>171</v>
      </c>
      <c r="C4" s="167" t="s">
        <v>119</v>
      </c>
      <c r="D4" s="167" t="s">
        <v>119</v>
      </c>
      <c r="E4" s="168" t="s">
        <v>119</v>
      </c>
      <c r="F4" s="167" t="s">
        <v>119</v>
      </c>
      <c r="G4" s="168" t="s">
        <v>119</v>
      </c>
      <c r="H4" s="167" t="s">
        <v>119</v>
      </c>
      <c r="I4" s="168" t="s">
        <v>119</v>
      </c>
      <c r="J4" s="166" t="s">
        <v>119</v>
      </c>
      <c r="K4" s="168" t="s">
        <v>119</v>
      </c>
      <c r="L4" s="167" t="s">
        <v>119</v>
      </c>
      <c r="M4" s="168" t="s">
        <v>119</v>
      </c>
      <c r="N4" s="167" t="s">
        <v>119</v>
      </c>
      <c r="O4" s="168" t="s">
        <v>119</v>
      </c>
      <c r="P4" s="167" t="s">
        <v>119</v>
      </c>
      <c r="Q4" s="168" t="s">
        <v>119</v>
      </c>
    </row>
    <row r="5" spans="1:17" x14ac:dyDescent="0.35">
      <c r="A5" s="157" t="s">
        <v>120</v>
      </c>
      <c r="B5" s="166">
        <v>86</v>
      </c>
      <c r="C5" s="167" t="s">
        <v>119</v>
      </c>
      <c r="D5" s="167" t="s">
        <v>119</v>
      </c>
      <c r="E5" s="168" t="s">
        <v>119</v>
      </c>
      <c r="F5" s="167" t="s">
        <v>119</v>
      </c>
      <c r="G5" s="168" t="s">
        <v>119</v>
      </c>
      <c r="H5" s="167" t="s">
        <v>119</v>
      </c>
      <c r="I5" s="168" t="s">
        <v>119</v>
      </c>
      <c r="J5" s="166" t="s">
        <v>119</v>
      </c>
      <c r="K5" s="168" t="s">
        <v>119</v>
      </c>
      <c r="L5" s="167" t="s">
        <v>119</v>
      </c>
      <c r="M5" s="168" t="s">
        <v>119</v>
      </c>
      <c r="N5" s="167" t="s">
        <v>119</v>
      </c>
      <c r="O5" s="168" t="s">
        <v>119</v>
      </c>
      <c r="P5" s="167" t="s">
        <v>119</v>
      </c>
      <c r="Q5" s="168" t="s">
        <v>119</v>
      </c>
    </row>
    <row r="6" spans="1:17" x14ac:dyDescent="0.35">
      <c r="A6" t="s">
        <v>123</v>
      </c>
      <c r="B6" s="6">
        <v>168</v>
      </c>
      <c r="C6" s="43">
        <v>1</v>
      </c>
      <c r="D6" s="43">
        <v>1</v>
      </c>
      <c r="E6" s="44">
        <f>(D6/$B6)*100</f>
        <v>0.59523809523809523</v>
      </c>
      <c r="F6" s="43">
        <v>0</v>
      </c>
      <c r="G6" s="44">
        <f>(F6/$B6)*100</f>
        <v>0</v>
      </c>
      <c r="H6" s="43">
        <v>0</v>
      </c>
      <c r="I6" s="44">
        <f>(H6/B6)*100</f>
        <v>0</v>
      </c>
      <c r="J6" s="6">
        <v>0</v>
      </c>
      <c r="K6" s="44">
        <f t="shared" ref="K6:K7" si="0">(J6/B6)*100</f>
        <v>0</v>
      </c>
      <c r="L6" s="43">
        <v>1</v>
      </c>
      <c r="M6" s="44">
        <f>(L6/$B6)*100</f>
        <v>0.59523809523809523</v>
      </c>
      <c r="N6" s="43">
        <v>0</v>
      </c>
      <c r="O6" s="44">
        <f>(N6/$B6)*100</f>
        <v>0</v>
      </c>
      <c r="P6" s="43">
        <v>0</v>
      </c>
      <c r="Q6" s="44">
        <f>(P6/$B6)*100</f>
        <v>0</v>
      </c>
    </row>
    <row r="7" spans="1:17" x14ac:dyDescent="0.35">
      <c r="A7" t="s">
        <v>126</v>
      </c>
      <c r="B7" s="6">
        <v>190</v>
      </c>
      <c r="C7" s="43">
        <v>1</v>
      </c>
      <c r="D7" s="43">
        <v>0</v>
      </c>
      <c r="E7" s="44">
        <f t="shared" ref="E7:E12" si="1">(D7/$B7)*100</f>
        <v>0</v>
      </c>
      <c r="F7" s="43">
        <v>0</v>
      </c>
      <c r="G7" s="44">
        <f t="shared" ref="G7:G12" si="2">(F7/$B7)*100</f>
        <v>0</v>
      </c>
      <c r="H7" s="43">
        <v>0</v>
      </c>
      <c r="I7" s="44">
        <f>(H7/B7)*100</f>
        <v>0</v>
      </c>
      <c r="J7" s="6">
        <v>0</v>
      </c>
      <c r="K7" s="44">
        <f t="shared" si="0"/>
        <v>0</v>
      </c>
      <c r="L7" s="43">
        <v>0</v>
      </c>
      <c r="M7" s="44">
        <f t="shared" ref="M7:M12" si="3">(L7/$B7)*100</f>
        <v>0</v>
      </c>
      <c r="N7" s="43">
        <v>0</v>
      </c>
      <c r="O7" s="44">
        <f t="shared" ref="O7:O12" si="4">(N7/$B7)*100</f>
        <v>0</v>
      </c>
      <c r="P7" s="43">
        <v>0</v>
      </c>
      <c r="Q7" s="44">
        <f t="shared" ref="Q7:Q12" si="5">(P7/$B7)*100</f>
        <v>0</v>
      </c>
    </row>
    <row r="8" spans="1:17" x14ac:dyDescent="0.35">
      <c r="A8" t="s">
        <v>127</v>
      </c>
      <c r="B8" s="6">
        <v>188</v>
      </c>
      <c r="C8" s="43">
        <v>5</v>
      </c>
      <c r="D8" s="43">
        <v>3</v>
      </c>
      <c r="E8" s="44">
        <f t="shared" si="1"/>
        <v>1.5957446808510638</v>
      </c>
      <c r="F8" s="43">
        <v>3</v>
      </c>
      <c r="G8" s="44">
        <f t="shared" si="2"/>
        <v>1.5957446808510638</v>
      </c>
      <c r="H8" s="6" t="s">
        <v>128</v>
      </c>
      <c r="I8" s="44" t="s">
        <v>119</v>
      </c>
      <c r="J8" s="6" t="s">
        <v>128</v>
      </c>
      <c r="K8" s="44" t="s">
        <v>119</v>
      </c>
      <c r="L8" s="43">
        <v>0</v>
      </c>
      <c r="M8" s="44">
        <f t="shared" si="3"/>
        <v>0</v>
      </c>
      <c r="N8" s="43">
        <v>0</v>
      </c>
      <c r="O8" s="44">
        <f t="shared" si="4"/>
        <v>0</v>
      </c>
      <c r="P8" s="43">
        <v>0</v>
      </c>
      <c r="Q8" s="44">
        <f t="shared" si="5"/>
        <v>0</v>
      </c>
    </row>
    <row r="9" spans="1:17" x14ac:dyDescent="0.35">
      <c r="A9" t="s">
        <v>157</v>
      </c>
      <c r="B9" s="6">
        <v>170</v>
      </c>
      <c r="C9" s="43">
        <v>18</v>
      </c>
      <c r="D9" s="43">
        <v>18</v>
      </c>
      <c r="E9" s="44">
        <f t="shared" si="1"/>
        <v>10.588235294117647</v>
      </c>
      <c r="F9" s="43">
        <v>11</v>
      </c>
      <c r="G9" s="44">
        <f t="shared" si="2"/>
        <v>6.4705882352941186</v>
      </c>
      <c r="H9" s="6" t="s">
        <v>128</v>
      </c>
      <c r="I9" s="44" t="s">
        <v>119</v>
      </c>
      <c r="J9" s="6" t="s">
        <v>128</v>
      </c>
      <c r="K9" s="44" t="s">
        <v>119</v>
      </c>
      <c r="L9" s="43">
        <v>7</v>
      </c>
      <c r="M9" s="44">
        <f t="shared" si="3"/>
        <v>4.117647058823529</v>
      </c>
      <c r="N9" s="43">
        <v>0</v>
      </c>
      <c r="O9" s="44">
        <f t="shared" si="4"/>
        <v>0</v>
      </c>
      <c r="P9" s="43">
        <v>0</v>
      </c>
      <c r="Q9" s="44">
        <f t="shared" si="5"/>
        <v>0</v>
      </c>
    </row>
    <row r="10" spans="1:17" x14ac:dyDescent="0.35">
      <c r="A10" t="s">
        <v>137</v>
      </c>
      <c r="B10" s="6">
        <v>299</v>
      </c>
      <c r="C10" s="43">
        <v>1</v>
      </c>
      <c r="D10" s="43">
        <v>1</v>
      </c>
      <c r="E10" s="44">
        <f t="shared" si="1"/>
        <v>0.33444816053511706</v>
      </c>
      <c r="F10" s="43">
        <v>1</v>
      </c>
      <c r="G10" s="44">
        <f t="shared" si="2"/>
        <v>0.33444816053511706</v>
      </c>
      <c r="H10" s="6" t="s">
        <v>128</v>
      </c>
      <c r="I10" s="44" t="s">
        <v>119</v>
      </c>
      <c r="J10" s="6" t="s">
        <v>128</v>
      </c>
      <c r="K10" s="44" t="s">
        <v>119</v>
      </c>
      <c r="L10" s="43">
        <v>0</v>
      </c>
      <c r="M10" s="44">
        <f t="shared" si="3"/>
        <v>0</v>
      </c>
      <c r="N10" s="43">
        <v>0</v>
      </c>
      <c r="O10" s="44">
        <f t="shared" si="4"/>
        <v>0</v>
      </c>
      <c r="P10" s="43">
        <v>0</v>
      </c>
      <c r="Q10" s="44">
        <f t="shared" si="5"/>
        <v>0</v>
      </c>
    </row>
    <row r="11" spans="1:17" x14ac:dyDescent="0.35">
      <c r="A11" t="s">
        <v>139</v>
      </c>
      <c r="B11" s="6">
        <v>171</v>
      </c>
      <c r="C11" s="43">
        <v>6</v>
      </c>
      <c r="D11" s="43">
        <v>6</v>
      </c>
      <c r="E11" s="44">
        <f t="shared" si="1"/>
        <v>3.5087719298245612</v>
      </c>
      <c r="F11" s="43">
        <v>6</v>
      </c>
      <c r="G11" s="44">
        <f t="shared" si="2"/>
        <v>3.5087719298245612</v>
      </c>
      <c r="H11" s="43">
        <v>2</v>
      </c>
      <c r="I11" s="44">
        <f t="shared" ref="I11:I12" si="6">(H11/B11)*100</f>
        <v>1.1695906432748537</v>
      </c>
      <c r="J11" s="6">
        <v>0</v>
      </c>
      <c r="K11" s="44">
        <f t="shared" ref="K11:K12" si="7">(J11/B11)*100</f>
        <v>0</v>
      </c>
      <c r="L11" s="43">
        <v>0</v>
      </c>
      <c r="M11" s="44">
        <f t="shared" si="3"/>
        <v>0</v>
      </c>
      <c r="N11" s="43">
        <v>0</v>
      </c>
      <c r="O11" s="44">
        <f t="shared" si="4"/>
        <v>0</v>
      </c>
      <c r="P11" s="43">
        <v>0</v>
      </c>
      <c r="Q11" s="44">
        <f t="shared" si="5"/>
        <v>0</v>
      </c>
    </row>
    <row r="12" spans="1:17" x14ac:dyDescent="0.35">
      <c r="A12" t="s">
        <v>140</v>
      </c>
      <c r="B12" s="6">
        <v>170</v>
      </c>
      <c r="C12" s="43">
        <v>1</v>
      </c>
      <c r="D12" s="43">
        <v>1</v>
      </c>
      <c r="E12" s="44">
        <f t="shared" si="1"/>
        <v>0.58823529411764708</v>
      </c>
      <c r="F12" s="43">
        <v>0</v>
      </c>
      <c r="G12" s="44">
        <f t="shared" si="2"/>
        <v>0</v>
      </c>
      <c r="H12" s="43">
        <v>0</v>
      </c>
      <c r="I12" s="44">
        <f t="shared" si="6"/>
        <v>0</v>
      </c>
      <c r="J12" s="6">
        <v>0</v>
      </c>
      <c r="K12" s="44">
        <f t="shared" si="7"/>
        <v>0</v>
      </c>
      <c r="L12" s="43">
        <v>0</v>
      </c>
      <c r="M12" s="44">
        <f t="shared" si="3"/>
        <v>0</v>
      </c>
      <c r="N12" s="43">
        <v>1</v>
      </c>
      <c r="O12" s="44">
        <f t="shared" si="4"/>
        <v>0.58823529411764708</v>
      </c>
      <c r="P12" s="43">
        <v>0</v>
      </c>
      <c r="Q12" s="44">
        <f t="shared" si="5"/>
        <v>0</v>
      </c>
    </row>
    <row r="13" spans="1:17" ht="15" thickBot="1" x14ac:dyDescent="0.4">
      <c r="A13" s="157" t="s">
        <v>143</v>
      </c>
      <c r="B13" s="166">
        <v>170</v>
      </c>
      <c r="C13" s="167" t="s">
        <v>119</v>
      </c>
      <c r="D13" s="167" t="s">
        <v>119</v>
      </c>
      <c r="E13" s="168" t="s">
        <v>119</v>
      </c>
      <c r="F13" s="167" t="s">
        <v>119</v>
      </c>
      <c r="G13" s="168" t="s">
        <v>119</v>
      </c>
      <c r="H13" s="167" t="s">
        <v>119</v>
      </c>
      <c r="I13" s="168" t="s">
        <v>119</v>
      </c>
      <c r="J13" s="166" t="s">
        <v>119</v>
      </c>
      <c r="K13" s="168" t="s">
        <v>119</v>
      </c>
      <c r="L13" s="167" t="s">
        <v>119</v>
      </c>
      <c r="M13" s="168" t="s">
        <v>119</v>
      </c>
      <c r="N13" s="167" t="s">
        <v>119</v>
      </c>
      <c r="O13" s="168" t="s">
        <v>119</v>
      </c>
      <c r="P13" s="167" t="s">
        <v>119</v>
      </c>
      <c r="Q13" s="168" t="s">
        <v>119</v>
      </c>
    </row>
    <row r="14" spans="1:17" ht="15" thickBot="1" x14ac:dyDescent="0.4">
      <c r="A14" s="80" t="s">
        <v>172</v>
      </c>
      <c r="B14" s="90">
        <f>SUM(B3:B13)</f>
        <v>1964</v>
      </c>
      <c r="C14" s="90">
        <f>SUM(C3:C12)</f>
        <v>35</v>
      </c>
      <c r="D14" s="90">
        <f>SUM(D3:D12)</f>
        <v>32</v>
      </c>
      <c r="E14" s="81">
        <f>(D14/$B14)*100</f>
        <v>1.6293279022403258</v>
      </c>
      <c r="F14" s="90">
        <f>SUM(F3:F12)</f>
        <v>22</v>
      </c>
      <c r="G14" s="81">
        <f>(F14/$B14)*100</f>
        <v>1.1201629327902241</v>
      </c>
      <c r="H14" s="90">
        <f>SUM(H3:H12)</f>
        <v>2</v>
      </c>
      <c r="I14" s="81">
        <f>(H14/$B14)*100</f>
        <v>0.10183299389002036</v>
      </c>
      <c r="J14" s="82">
        <f>SUM(J3:J12)</f>
        <v>0</v>
      </c>
      <c r="K14" s="81">
        <f>(J14/B14)*100</f>
        <v>0</v>
      </c>
      <c r="L14" s="90">
        <f>SUM(L3:L12)</f>
        <v>9</v>
      </c>
      <c r="M14" s="81">
        <f>(L14/$B14)*100</f>
        <v>0.45824847250509165</v>
      </c>
      <c r="N14" s="90">
        <f>SUM(N3:N12)</f>
        <v>1</v>
      </c>
      <c r="O14" s="81">
        <f>(N14/$B14)*100</f>
        <v>5.091649694501018E-2</v>
      </c>
      <c r="P14" s="90">
        <f>SUM(P3:P12)</f>
        <v>0</v>
      </c>
      <c r="Q14" s="81">
        <f>(P14/$B14)*100</f>
        <v>0</v>
      </c>
    </row>
    <row r="15" spans="1:17" x14ac:dyDescent="0.35">
      <c r="A15" s="157" t="s">
        <v>149</v>
      </c>
      <c r="B15" s="167">
        <v>20</v>
      </c>
      <c r="C15" s="167" t="s">
        <v>119</v>
      </c>
      <c r="D15" s="167" t="s">
        <v>119</v>
      </c>
      <c r="E15" s="168" t="s">
        <v>119</v>
      </c>
      <c r="F15" s="167" t="s">
        <v>119</v>
      </c>
      <c r="G15" s="168" t="s">
        <v>119</v>
      </c>
      <c r="H15" s="167" t="s">
        <v>119</v>
      </c>
      <c r="I15" s="168" t="s">
        <v>119</v>
      </c>
      <c r="J15" s="166" t="s">
        <v>119</v>
      </c>
      <c r="K15" s="168" t="s">
        <v>119</v>
      </c>
      <c r="L15" s="167" t="s">
        <v>119</v>
      </c>
      <c r="M15" s="168" t="s">
        <v>119</v>
      </c>
      <c r="N15" s="167" t="s">
        <v>119</v>
      </c>
      <c r="O15" s="168" t="s">
        <v>119</v>
      </c>
      <c r="P15" s="167" t="s">
        <v>119</v>
      </c>
      <c r="Q15" s="168" t="s">
        <v>119</v>
      </c>
    </row>
    <row r="16" spans="1:17" ht="15" thickBot="1" x14ac:dyDescent="0.4">
      <c r="A16" t="s">
        <v>150</v>
      </c>
      <c r="B16" s="6">
        <v>197</v>
      </c>
      <c r="C16" s="43">
        <v>6</v>
      </c>
      <c r="D16" s="43">
        <v>6</v>
      </c>
      <c r="E16" s="44">
        <f>(D16/$B16)*100</f>
        <v>3.0456852791878175</v>
      </c>
      <c r="F16" s="43">
        <v>2</v>
      </c>
      <c r="G16" s="44">
        <f>(F16/$B16)*100</f>
        <v>1.015228426395939</v>
      </c>
      <c r="H16" s="43">
        <v>1</v>
      </c>
      <c r="I16" s="44">
        <f>(H16/B16)*100</f>
        <v>0.50761421319796951</v>
      </c>
      <c r="J16" s="6">
        <v>0</v>
      </c>
      <c r="K16" s="44">
        <f t="shared" ref="K16" si="8">(J16/B16)*100</f>
        <v>0</v>
      </c>
      <c r="L16" s="43">
        <v>1</v>
      </c>
      <c r="M16" s="44">
        <f>(L16/$B16)*100</f>
        <v>0.50761421319796951</v>
      </c>
      <c r="N16" s="43">
        <v>3</v>
      </c>
      <c r="O16" s="44">
        <f>(N16/$B16)*100</f>
        <v>1.5228426395939088</v>
      </c>
      <c r="P16" s="43">
        <v>0</v>
      </c>
      <c r="Q16" s="44">
        <f>(P16/$B16)*100</f>
        <v>0</v>
      </c>
    </row>
    <row r="17" spans="1:17" s="8" customFormat="1" ht="15" thickBot="1" x14ac:dyDescent="0.4">
      <c r="A17" s="80" t="s">
        <v>173</v>
      </c>
      <c r="B17" s="82">
        <f>SUM(B16)</f>
        <v>197</v>
      </c>
      <c r="C17" s="90">
        <v>6</v>
      </c>
      <c r="D17" s="90">
        <v>6</v>
      </c>
      <c r="E17" s="81">
        <f>(D17/$B17)*100</f>
        <v>3.0456852791878175</v>
      </c>
      <c r="F17" s="90">
        <v>2</v>
      </c>
      <c r="G17" s="81">
        <f>(F17/$B17)*100</f>
        <v>1.015228426395939</v>
      </c>
      <c r="H17" s="90">
        <v>1</v>
      </c>
      <c r="I17" s="81">
        <f>(H17/$B17)*100</f>
        <v>0.50761421319796951</v>
      </c>
      <c r="J17" s="82">
        <v>0</v>
      </c>
      <c r="K17" s="81">
        <f>(J17/B17)*100</f>
        <v>0</v>
      </c>
      <c r="L17" s="90">
        <v>1</v>
      </c>
      <c r="M17" s="81">
        <f>(L17/$B17)*100</f>
        <v>0.50761421319796951</v>
      </c>
      <c r="N17" s="90">
        <v>3</v>
      </c>
      <c r="O17" s="81">
        <f>(N17/$B17)*100</f>
        <v>1.5228426395939088</v>
      </c>
      <c r="P17" s="90">
        <v>0</v>
      </c>
      <c r="Q17" s="81">
        <f>(P17/$B17)*100</f>
        <v>0</v>
      </c>
    </row>
    <row r="18" spans="1:17" ht="15" thickBot="1" x14ac:dyDescent="0.4">
      <c r="A18" s="80" t="s">
        <v>174</v>
      </c>
      <c r="B18" s="90">
        <f>SUM(B14,B17)</f>
        <v>2161</v>
      </c>
      <c r="C18" s="90">
        <f>SUM(C14,C17)</f>
        <v>41</v>
      </c>
      <c r="D18" s="90">
        <f>D14+D16</f>
        <v>38</v>
      </c>
      <c r="E18" s="81">
        <f>(D18/$B18)*100</f>
        <v>1.7584451642757983</v>
      </c>
      <c r="F18" s="90">
        <f>F14+F16</f>
        <v>24</v>
      </c>
      <c r="G18" s="81">
        <f>(F18/$B18)*100</f>
        <v>1.1105969458583989</v>
      </c>
      <c r="H18" s="90">
        <f>H14+H16</f>
        <v>3</v>
      </c>
      <c r="I18" s="81">
        <f>(H18/$B18)*100</f>
        <v>0.13882461823229986</v>
      </c>
      <c r="J18" s="82">
        <f>J14+J16</f>
        <v>0</v>
      </c>
      <c r="K18" s="81">
        <f>(J18/B18)*100</f>
        <v>0</v>
      </c>
      <c r="L18" s="90">
        <f>L14+L16</f>
        <v>10</v>
      </c>
      <c r="M18" s="81">
        <f>(L18/$B18)*100</f>
        <v>0.46274872744099954</v>
      </c>
      <c r="N18" s="90">
        <f>N14+N16</f>
        <v>4</v>
      </c>
      <c r="O18" s="81">
        <f>(N18/$B18)*100</f>
        <v>0.18509949097639983</v>
      </c>
      <c r="P18" s="90">
        <f>P14+P16</f>
        <v>0</v>
      </c>
      <c r="Q18" s="81">
        <f>(P18/$B18)*100</f>
        <v>0</v>
      </c>
    </row>
    <row r="20" spans="1:17" x14ac:dyDescent="0.35">
      <c r="B20" s="164"/>
      <c r="C20" s="233" t="s">
        <v>1050</v>
      </c>
      <c r="D20" s="233"/>
      <c r="E20" s="233"/>
      <c r="F20" s="233"/>
      <c r="G20" s="233"/>
      <c r="H20" s="233"/>
      <c r="I20" s="233"/>
      <c r="J20" s="233"/>
      <c r="K20" s="233"/>
      <c r="L20" s="233"/>
    </row>
    <row r="21" spans="1:17" x14ac:dyDescent="0.35">
      <c r="B21" s="165" t="s">
        <v>153</v>
      </c>
      <c r="C21" s="233" t="s">
        <v>1051</v>
      </c>
      <c r="D21" s="233"/>
      <c r="E21" s="233"/>
      <c r="F21" s="233"/>
      <c r="G21" s="233"/>
      <c r="H21" s="233"/>
      <c r="I21" s="233"/>
      <c r="J21" s="233"/>
      <c r="K21" s="233"/>
      <c r="L21" s="233"/>
    </row>
    <row r="28" spans="1:17" x14ac:dyDescent="0.35">
      <c r="D28" s="136"/>
    </row>
    <row r="29" spans="1:17" x14ac:dyDescent="0.35">
      <c r="C29" s="1"/>
      <c r="E29" s="136"/>
    </row>
    <row r="30" spans="1:17" x14ac:dyDescent="0.35">
      <c r="E30" s="136"/>
    </row>
    <row r="31" spans="1:17" x14ac:dyDescent="0.35">
      <c r="E31" s="136"/>
    </row>
    <row r="32" spans="1:17" x14ac:dyDescent="0.35">
      <c r="E32" s="136"/>
    </row>
    <row r="33" spans="5:5" x14ac:dyDescent="0.35">
      <c r="E33" s="136"/>
    </row>
    <row r="34" spans="5:5" x14ac:dyDescent="0.35">
      <c r="E34" s="136"/>
    </row>
  </sheetData>
  <mergeCells count="12">
    <mergeCell ref="C20:L20"/>
    <mergeCell ref="C21:L21"/>
    <mergeCell ref="P1:Q1"/>
    <mergeCell ref="A1:A2"/>
    <mergeCell ref="C1:C2"/>
    <mergeCell ref="D1:E1"/>
    <mergeCell ref="F1:G1"/>
    <mergeCell ref="H1:I1"/>
    <mergeCell ref="B1:B2"/>
    <mergeCell ref="J1:K1"/>
    <mergeCell ref="L1:M1"/>
    <mergeCell ref="N1:O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4">
    <tabColor theme="7" tint="0.79998168889431442"/>
  </sheetPr>
  <dimension ref="A1:W39"/>
  <sheetViews>
    <sheetView zoomScale="80" zoomScaleNormal="80" workbookViewId="0">
      <pane ySplit="2" topLeftCell="A3" activePane="bottomLeft" state="frozen"/>
      <selection pane="bottomLeft" activeCell="A6" sqref="A6:XFD6"/>
    </sheetView>
  </sheetViews>
  <sheetFormatPr defaultColWidth="10.6328125" defaultRowHeight="14.5" x14ac:dyDescent="0.35"/>
  <cols>
    <col min="1" max="1" width="32.54296875" style="60" customWidth="1"/>
    <col min="3" max="6" width="10.36328125" customWidth="1"/>
    <col min="7" max="7" width="10.36328125" style="2" customWidth="1"/>
    <col min="8" max="9" width="10.36328125" customWidth="1"/>
    <col min="10" max="10" width="10.36328125" style="2" customWidth="1"/>
    <col min="11" max="12" width="10.36328125" customWidth="1"/>
    <col min="13" max="13" width="10.36328125" style="2" customWidth="1"/>
    <col min="14" max="15" width="10.36328125" customWidth="1"/>
    <col min="16" max="16" width="10.36328125" style="2" customWidth="1"/>
    <col min="17" max="18" width="10.36328125" customWidth="1"/>
    <col min="19" max="19" width="10.36328125" style="2" customWidth="1"/>
    <col min="20" max="21" width="10.36328125" customWidth="1"/>
    <col min="22" max="22" width="10.36328125" style="2" customWidth="1"/>
    <col min="23" max="23" width="10.36328125" customWidth="1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85" t="s">
        <v>83</v>
      </c>
      <c r="J2" s="94" t="s">
        <v>175</v>
      </c>
      <c r="K2" s="85" t="s">
        <v>176</v>
      </c>
      <c r="L2" s="85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01" t="s">
        <v>177</v>
      </c>
      <c r="B3" s="43">
        <v>310</v>
      </c>
      <c r="C3" s="6">
        <v>49</v>
      </c>
      <c r="D3" s="44">
        <v>15.8</v>
      </c>
      <c r="E3" s="6" t="s">
        <v>178</v>
      </c>
      <c r="F3" s="6">
        <v>34</v>
      </c>
      <c r="G3" s="44">
        <v>11</v>
      </c>
      <c r="H3" s="6" t="s">
        <v>179</v>
      </c>
      <c r="I3" s="6" t="s">
        <v>119</v>
      </c>
      <c r="J3" s="44" t="s">
        <v>128</v>
      </c>
      <c r="K3" s="6" t="s">
        <v>128</v>
      </c>
      <c r="L3" s="6" t="s">
        <v>119</v>
      </c>
      <c r="M3" s="44" t="s">
        <v>128</v>
      </c>
      <c r="N3" s="44" t="s">
        <v>128</v>
      </c>
      <c r="O3" s="6">
        <v>15</v>
      </c>
      <c r="P3" s="44">
        <v>4.8</v>
      </c>
      <c r="Q3" s="6" t="s">
        <v>180</v>
      </c>
      <c r="R3" s="6">
        <v>0</v>
      </c>
      <c r="S3" s="44">
        <v>0</v>
      </c>
      <c r="T3" s="6" t="s">
        <v>181</v>
      </c>
      <c r="U3" s="6">
        <v>1</v>
      </c>
      <c r="V3" s="44">
        <v>0.3</v>
      </c>
      <c r="W3" s="6" t="s">
        <v>182</v>
      </c>
    </row>
    <row r="4" spans="1:23" x14ac:dyDescent="0.35">
      <c r="A4" s="201" t="s">
        <v>183</v>
      </c>
      <c r="B4" s="43">
        <v>310</v>
      </c>
      <c r="C4" s="6">
        <v>178</v>
      </c>
      <c r="D4" s="44">
        <v>57.4</v>
      </c>
      <c r="E4" s="6" t="s">
        <v>184</v>
      </c>
      <c r="F4" s="6">
        <v>173</v>
      </c>
      <c r="G4" s="44">
        <v>55.8</v>
      </c>
      <c r="H4" s="6" t="s">
        <v>185</v>
      </c>
      <c r="I4" s="6" t="s">
        <v>119</v>
      </c>
      <c r="J4" s="44" t="s">
        <v>128</v>
      </c>
      <c r="K4" s="6" t="s">
        <v>128</v>
      </c>
      <c r="L4" s="6" t="s">
        <v>119</v>
      </c>
      <c r="M4" s="44" t="s">
        <v>128</v>
      </c>
      <c r="N4" s="44" t="s">
        <v>128</v>
      </c>
      <c r="O4" s="6">
        <v>5</v>
      </c>
      <c r="P4" s="44">
        <v>1.6</v>
      </c>
      <c r="Q4" s="6" t="s">
        <v>186</v>
      </c>
      <c r="R4" s="6">
        <v>0</v>
      </c>
      <c r="S4" s="44">
        <v>0</v>
      </c>
      <c r="T4" s="6" t="s">
        <v>181</v>
      </c>
      <c r="U4" s="6">
        <v>0</v>
      </c>
      <c r="V4" s="44">
        <v>0</v>
      </c>
      <c r="W4" s="6" t="s">
        <v>181</v>
      </c>
    </row>
    <row r="5" spans="1:23" x14ac:dyDescent="0.35">
      <c r="A5" s="201" t="s">
        <v>118</v>
      </c>
      <c r="B5" s="43">
        <v>442</v>
      </c>
      <c r="C5" s="6">
        <v>207</v>
      </c>
      <c r="D5" s="44">
        <v>46.8</v>
      </c>
      <c r="E5" s="6" t="s">
        <v>187</v>
      </c>
      <c r="F5" s="6">
        <v>153</v>
      </c>
      <c r="G5" s="44">
        <v>34.6</v>
      </c>
      <c r="H5" s="6" t="s">
        <v>188</v>
      </c>
      <c r="I5" s="6">
        <v>39</v>
      </c>
      <c r="J5" s="44">
        <v>8.8000000000000007</v>
      </c>
      <c r="K5" s="6" t="s">
        <v>189</v>
      </c>
      <c r="L5" s="6">
        <v>6</v>
      </c>
      <c r="M5" s="44">
        <v>1.4</v>
      </c>
      <c r="N5" s="6" t="s">
        <v>190</v>
      </c>
      <c r="O5" s="6">
        <v>31</v>
      </c>
      <c r="P5" s="44">
        <v>7</v>
      </c>
      <c r="Q5" s="6" t="s">
        <v>191</v>
      </c>
      <c r="R5" s="6">
        <v>23</v>
      </c>
      <c r="S5" s="44">
        <v>5.2</v>
      </c>
      <c r="T5" s="6" t="s">
        <v>192</v>
      </c>
      <c r="U5" s="6">
        <v>0</v>
      </c>
      <c r="V5" s="44">
        <v>0</v>
      </c>
      <c r="W5" s="6" t="s">
        <v>193</v>
      </c>
    </row>
    <row r="6" spans="1:23" x14ac:dyDescent="0.35">
      <c r="A6" s="201" t="s">
        <v>120</v>
      </c>
      <c r="B6" s="43">
        <v>448</v>
      </c>
      <c r="C6" s="6">
        <v>116</v>
      </c>
      <c r="D6" s="44">
        <v>25.9</v>
      </c>
      <c r="E6" s="6" t="s">
        <v>194</v>
      </c>
      <c r="F6" s="6">
        <v>107</v>
      </c>
      <c r="G6" s="44">
        <v>23.9</v>
      </c>
      <c r="H6" s="6" t="s">
        <v>195</v>
      </c>
      <c r="I6" s="6">
        <v>19</v>
      </c>
      <c r="J6" s="44">
        <v>4.2</v>
      </c>
      <c r="K6" s="6" t="s">
        <v>196</v>
      </c>
      <c r="L6" s="6">
        <v>0</v>
      </c>
      <c r="M6" s="44">
        <v>0</v>
      </c>
      <c r="N6" s="6" t="s">
        <v>193</v>
      </c>
      <c r="O6" s="6">
        <v>9</v>
      </c>
      <c r="P6" s="44">
        <v>2</v>
      </c>
      <c r="Q6" s="6" t="s">
        <v>197</v>
      </c>
      <c r="R6" s="6">
        <v>0</v>
      </c>
      <c r="S6" s="44">
        <v>0</v>
      </c>
      <c r="T6" s="6" t="s">
        <v>193</v>
      </c>
      <c r="U6" s="6">
        <v>0</v>
      </c>
      <c r="V6" s="44">
        <v>0</v>
      </c>
      <c r="W6" s="6" t="s">
        <v>193</v>
      </c>
    </row>
    <row r="7" spans="1:23" x14ac:dyDescent="0.35">
      <c r="A7" s="201" t="s">
        <v>121</v>
      </c>
      <c r="B7" s="43">
        <v>150</v>
      </c>
      <c r="C7" s="6">
        <v>70</v>
      </c>
      <c r="D7" s="44">
        <v>46.7</v>
      </c>
      <c r="E7" s="6" t="s">
        <v>198</v>
      </c>
      <c r="F7" s="6">
        <v>67</v>
      </c>
      <c r="G7" s="44">
        <v>44.7</v>
      </c>
      <c r="H7" s="6" t="s">
        <v>199</v>
      </c>
      <c r="I7" s="6">
        <v>19</v>
      </c>
      <c r="J7" s="44">
        <v>12.7</v>
      </c>
      <c r="K7" s="6" t="s">
        <v>200</v>
      </c>
      <c r="L7" s="6">
        <v>0</v>
      </c>
      <c r="M7" s="44">
        <v>0</v>
      </c>
      <c r="N7" s="6" t="s">
        <v>201</v>
      </c>
      <c r="O7" s="6">
        <v>1</v>
      </c>
      <c r="P7" s="44">
        <v>0.7</v>
      </c>
      <c r="Q7" s="6" t="s">
        <v>202</v>
      </c>
      <c r="R7" s="6">
        <v>2</v>
      </c>
      <c r="S7" s="44">
        <v>1.3</v>
      </c>
      <c r="T7" s="6" t="s">
        <v>203</v>
      </c>
      <c r="U7" s="6">
        <v>0</v>
      </c>
      <c r="V7" s="44">
        <v>0</v>
      </c>
      <c r="W7" s="6" t="s">
        <v>201</v>
      </c>
    </row>
    <row r="8" spans="1:23" x14ac:dyDescent="0.35">
      <c r="A8" s="201" t="s">
        <v>204</v>
      </c>
      <c r="B8" s="43">
        <v>308</v>
      </c>
      <c r="C8" s="6">
        <v>127</v>
      </c>
      <c r="D8" s="44">
        <v>41.2</v>
      </c>
      <c r="E8" s="6" t="s">
        <v>205</v>
      </c>
      <c r="F8" s="6">
        <v>63</v>
      </c>
      <c r="G8" s="44">
        <v>20.5</v>
      </c>
      <c r="H8" s="6" t="s">
        <v>206</v>
      </c>
      <c r="I8" s="6" t="s">
        <v>119</v>
      </c>
      <c r="J8" s="44" t="s">
        <v>128</v>
      </c>
      <c r="K8" s="6" t="s">
        <v>128</v>
      </c>
      <c r="L8" s="6" t="s">
        <v>119</v>
      </c>
      <c r="M8" s="44" t="s">
        <v>128</v>
      </c>
      <c r="N8" s="6" t="s">
        <v>128</v>
      </c>
      <c r="O8" s="6">
        <v>65</v>
      </c>
      <c r="P8" s="44">
        <v>21.1</v>
      </c>
      <c r="Q8" s="6" t="s">
        <v>207</v>
      </c>
      <c r="R8" s="6">
        <v>1</v>
      </c>
      <c r="S8" s="44">
        <v>0.3</v>
      </c>
      <c r="T8" s="6" t="s">
        <v>182</v>
      </c>
      <c r="U8" s="6">
        <v>0</v>
      </c>
      <c r="V8" s="44">
        <v>0</v>
      </c>
      <c r="W8" s="6" t="s">
        <v>181</v>
      </c>
    </row>
    <row r="9" spans="1:23" x14ac:dyDescent="0.35">
      <c r="A9" s="201" t="s">
        <v>123</v>
      </c>
      <c r="B9" s="43">
        <v>652</v>
      </c>
      <c r="C9" s="6">
        <v>19</v>
      </c>
      <c r="D9" s="44">
        <v>2.9</v>
      </c>
      <c r="E9" s="6" t="s">
        <v>208</v>
      </c>
      <c r="F9" s="6">
        <v>17</v>
      </c>
      <c r="G9" s="44">
        <v>2.6</v>
      </c>
      <c r="H9" s="6" t="s">
        <v>209</v>
      </c>
      <c r="I9" s="6">
        <v>7</v>
      </c>
      <c r="J9" s="44">
        <v>1.1000000000000001</v>
      </c>
      <c r="K9" s="6" t="s">
        <v>210</v>
      </c>
      <c r="L9" s="6">
        <v>0</v>
      </c>
      <c r="M9" s="44">
        <v>0</v>
      </c>
      <c r="N9" s="6" t="s">
        <v>211</v>
      </c>
      <c r="O9" s="6">
        <v>0</v>
      </c>
      <c r="P9" s="44">
        <v>0</v>
      </c>
      <c r="Q9" s="6" t="s">
        <v>211</v>
      </c>
      <c r="R9" s="6">
        <v>2</v>
      </c>
      <c r="S9" s="44">
        <v>0.3</v>
      </c>
      <c r="T9" s="6" t="s">
        <v>212</v>
      </c>
      <c r="U9" s="6">
        <v>0</v>
      </c>
      <c r="V9" s="44">
        <v>0</v>
      </c>
      <c r="W9" s="6" t="s">
        <v>211</v>
      </c>
    </row>
    <row r="10" spans="1:23" x14ac:dyDescent="0.35">
      <c r="A10" s="201" t="s">
        <v>124</v>
      </c>
      <c r="B10" s="43">
        <v>152</v>
      </c>
      <c r="C10" s="6">
        <v>114</v>
      </c>
      <c r="D10" s="44">
        <v>75</v>
      </c>
      <c r="E10" s="6" t="s">
        <v>213</v>
      </c>
      <c r="F10" s="6">
        <v>89</v>
      </c>
      <c r="G10" s="44">
        <v>58.6</v>
      </c>
      <c r="H10" s="6" t="s">
        <v>214</v>
      </c>
      <c r="I10" s="6">
        <v>2</v>
      </c>
      <c r="J10" s="44">
        <v>1.3</v>
      </c>
      <c r="K10" s="6" t="s">
        <v>203</v>
      </c>
      <c r="L10" s="6">
        <v>0</v>
      </c>
      <c r="M10" s="44">
        <v>0</v>
      </c>
      <c r="N10" s="6" t="s">
        <v>201</v>
      </c>
      <c r="O10" s="6">
        <v>21</v>
      </c>
      <c r="P10" s="44">
        <v>13.8</v>
      </c>
      <c r="Q10" s="6" t="s">
        <v>215</v>
      </c>
      <c r="R10" s="6">
        <v>4</v>
      </c>
      <c r="S10" s="44">
        <v>2.6</v>
      </c>
      <c r="T10" s="6" t="s">
        <v>216</v>
      </c>
      <c r="U10" s="6">
        <v>0</v>
      </c>
      <c r="V10" s="44">
        <v>0</v>
      </c>
      <c r="W10" s="6" t="s">
        <v>201</v>
      </c>
    </row>
    <row r="11" spans="1:23" x14ac:dyDescent="0.35">
      <c r="A11" s="201" t="s">
        <v>217</v>
      </c>
      <c r="B11" s="43">
        <v>305</v>
      </c>
      <c r="C11" s="6">
        <v>3</v>
      </c>
      <c r="D11" s="44">
        <v>1</v>
      </c>
      <c r="E11" s="6" t="s">
        <v>218</v>
      </c>
      <c r="F11" s="6">
        <v>3</v>
      </c>
      <c r="G11" s="44">
        <v>1</v>
      </c>
      <c r="H11" s="6" t="s">
        <v>218</v>
      </c>
      <c r="I11" s="6" t="s">
        <v>119</v>
      </c>
      <c r="J11" s="44" t="s">
        <v>128</v>
      </c>
      <c r="K11" s="6" t="s">
        <v>128</v>
      </c>
      <c r="L11" s="6" t="s">
        <v>119</v>
      </c>
      <c r="M11" s="44" t="s">
        <v>128</v>
      </c>
      <c r="N11" s="6" t="s">
        <v>128</v>
      </c>
      <c r="O11" s="6">
        <v>0</v>
      </c>
      <c r="P11" s="44">
        <v>0</v>
      </c>
      <c r="Q11" s="6" t="s">
        <v>181</v>
      </c>
      <c r="R11" s="6">
        <v>0</v>
      </c>
      <c r="S11" s="44">
        <v>0</v>
      </c>
      <c r="T11" s="6" t="s">
        <v>181</v>
      </c>
      <c r="U11" s="6">
        <v>0</v>
      </c>
      <c r="V11" s="44">
        <v>0</v>
      </c>
      <c r="W11" s="6" t="s">
        <v>181</v>
      </c>
    </row>
    <row r="12" spans="1:23" x14ac:dyDescent="0.35">
      <c r="A12" s="201" t="s">
        <v>126</v>
      </c>
      <c r="B12" s="43">
        <v>330</v>
      </c>
      <c r="C12" s="6">
        <v>37</v>
      </c>
      <c r="D12" s="44">
        <v>11.2</v>
      </c>
      <c r="E12" s="6" t="s">
        <v>219</v>
      </c>
      <c r="F12" s="6">
        <v>33</v>
      </c>
      <c r="G12" s="44">
        <v>10</v>
      </c>
      <c r="H12" s="6" t="s">
        <v>220</v>
      </c>
      <c r="I12" s="6">
        <v>3</v>
      </c>
      <c r="J12" s="44">
        <v>0.9</v>
      </c>
      <c r="K12" s="6" t="s">
        <v>221</v>
      </c>
      <c r="L12" s="6">
        <v>3</v>
      </c>
      <c r="M12" s="44">
        <v>0.9</v>
      </c>
      <c r="N12" s="6" t="s">
        <v>221</v>
      </c>
      <c r="O12" s="6">
        <v>3</v>
      </c>
      <c r="P12" s="44">
        <v>0.9</v>
      </c>
      <c r="Q12" s="6" t="s">
        <v>221</v>
      </c>
      <c r="R12" s="6">
        <v>1</v>
      </c>
      <c r="S12" s="44">
        <v>0.3</v>
      </c>
      <c r="T12" s="6" t="s">
        <v>222</v>
      </c>
      <c r="U12" s="6">
        <v>0</v>
      </c>
      <c r="V12" s="44">
        <v>0</v>
      </c>
      <c r="W12" s="6" t="s">
        <v>212</v>
      </c>
    </row>
    <row r="13" spans="1:23" x14ac:dyDescent="0.35">
      <c r="A13" s="201" t="s">
        <v>127</v>
      </c>
      <c r="B13" s="43">
        <v>399</v>
      </c>
      <c r="C13" s="6">
        <v>135</v>
      </c>
      <c r="D13" s="44">
        <v>35.799999999999997</v>
      </c>
      <c r="E13" s="6" t="s">
        <v>223</v>
      </c>
      <c r="F13" s="6">
        <v>130</v>
      </c>
      <c r="G13" s="44">
        <v>34.5</v>
      </c>
      <c r="H13" s="6" t="s">
        <v>224</v>
      </c>
      <c r="I13" s="6" t="s">
        <v>119</v>
      </c>
      <c r="J13" s="44" t="s">
        <v>128</v>
      </c>
      <c r="K13" s="6" t="s">
        <v>128</v>
      </c>
      <c r="L13" s="6" t="s">
        <v>119</v>
      </c>
      <c r="M13" s="44" t="s">
        <v>128</v>
      </c>
      <c r="N13" s="6" t="s">
        <v>128</v>
      </c>
      <c r="O13" s="6">
        <v>5</v>
      </c>
      <c r="P13" s="44">
        <v>1.3</v>
      </c>
      <c r="Q13" s="6" t="s">
        <v>225</v>
      </c>
      <c r="R13" s="6">
        <v>0</v>
      </c>
      <c r="S13" s="44">
        <v>0</v>
      </c>
      <c r="T13" s="6" t="s">
        <v>226</v>
      </c>
      <c r="U13" s="6">
        <v>0</v>
      </c>
      <c r="V13" s="44">
        <v>0</v>
      </c>
      <c r="W13" s="6" t="s">
        <v>226</v>
      </c>
    </row>
    <row r="14" spans="1:23" x14ac:dyDescent="0.35">
      <c r="A14" s="201" t="s">
        <v>129</v>
      </c>
      <c r="B14" s="43">
        <v>229</v>
      </c>
      <c r="C14" s="6">
        <v>102</v>
      </c>
      <c r="D14" s="44">
        <v>55.5</v>
      </c>
      <c r="E14" s="6" t="s">
        <v>227</v>
      </c>
      <c r="F14" s="6">
        <v>93</v>
      </c>
      <c r="G14" s="44">
        <v>50.6</v>
      </c>
      <c r="H14" s="6" t="s">
        <v>228</v>
      </c>
      <c r="I14" s="6">
        <v>15</v>
      </c>
      <c r="J14" s="44">
        <v>8.1999999999999993</v>
      </c>
      <c r="K14" s="6" t="s">
        <v>229</v>
      </c>
      <c r="L14" s="6">
        <v>0</v>
      </c>
      <c r="M14" s="44">
        <v>0</v>
      </c>
      <c r="N14" s="6" t="s">
        <v>230</v>
      </c>
      <c r="O14" s="6">
        <v>5</v>
      </c>
      <c r="P14" s="44">
        <v>2.7</v>
      </c>
      <c r="Q14" s="6" t="s">
        <v>231</v>
      </c>
      <c r="R14" s="6">
        <v>4</v>
      </c>
      <c r="S14" s="44">
        <v>2.2000000000000002</v>
      </c>
      <c r="T14" s="6" t="s">
        <v>232</v>
      </c>
      <c r="U14" s="6">
        <v>0</v>
      </c>
      <c r="V14" s="44">
        <v>0</v>
      </c>
      <c r="W14" s="6" t="s">
        <v>230</v>
      </c>
    </row>
    <row r="15" spans="1:23" x14ac:dyDescent="0.35">
      <c r="A15" s="201" t="s">
        <v>130</v>
      </c>
      <c r="B15" s="43">
        <v>434</v>
      </c>
      <c r="C15" s="6">
        <v>268</v>
      </c>
      <c r="D15" s="44">
        <v>61.8</v>
      </c>
      <c r="E15" s="6" t="s">
        <v>233</v>
      </c>
      <c r="F15" s="6">
        <v>230</v>
      </c>
      <c r="G15" s="44">
        <v>53</v>
      </c>
      <c r="H15" s="6" t="s">
        <v>234</v>
      </c>
      <c r="I15" s="6">
        <v>94</v>
      </c>
      <c r="J15" s="44">
        <v>21.7</v>
      </c>
      <c r="K15" s="6" t="s">
        <v>235</v>
      </c>
      <c r="L15" s="6">
        <v>10</v>
      </c>
      <c r="M15" s="44">
        <v>2.2999999999999998</v>
      </c>
      <c r="N15" s="6" t="s">
        <v>236</v>
      </c>
      <c r="O15" s="6">
        <v>28</v>
      </c>
      <c r="P15" s="44">
        <v>6.5</v>
      </c>
      <c r="Q15" s="6" t="s">
        <v>237</v>
      </c>
      <c r="R15" s="6">
        <v>10</v>
      </c>
      <c r="S15" s="44">
        <v>2.2999999999999998</v>
      </c>
      <c r="T15" s="6" t="s">
        <v>238</v>
      </c>
      <c r="U15" s="6">
        <v>0</v>
      </c>
      <c r="V15" s="44">
        <v>0</v>
      </c>
      <c r="W15" s="6" t="s">
        <v>193</v>
      </c>
    </row>
    <row r="16" spans="1:23" x14ac:dyDescent="0.35">
      <c r="A16" s="201" t="s">
        <v>131</v>
      </c>
      <c r="B16" s="43">
        <v>300</v>
      </c>
      <c r="C16" s="6">
        <v>41</v>
      </c>
      <c r="D16" s="44">
        <v>13.7</v>
      </c>
      <c r="E16" s="6" t="s">
        <v>239</v>
      </c>
      <c r="F16" s="6">
        <v>32</v>
      </c>
      <c r="G16" s="44">
        <v>10.7</v>
      </c>
      <c r="H16" s="6" t="s">
        <v>240</v>
      </c>
      <c r="I16" s="6">
        <v>7</v>
      </c>
      <c r="J16" s="44">
        <v>2.2999999999999998</v>
      </c>
      <c r="K16" s="6" t="s">
        <v>241</v>
      </c>
      <c r="L16" s="6">
        <v>1</v>
      </c>
      <c r="M16" s="44">
        <v>0.3</v>
      </c>
      <c r="N16" s="6" t="s">
        <v>182</v>
      </c>
      <c r="O16" s="6">
        <v>9</v>
      </c>
      <c r="P16" s="44">
        <v>3</v>
      </c>
      <c r="Q16" s="6" t="s">
        <v>242</v>
      </c>
      <c r="R16" s="6">
        <v>0</v>
      </c>
      <c r="S16" s="44">
        <v>0</v>
      </c>
      <c r="T16" s="6" t="s">
        <v>181</v>
      </c>
      <c r="U16" s="6">
        <v>0</v>
      </c>
      <c r="V16" s="44">
        <v>0</v>
      </c>
      <c r="W16" s="6" t="s">
        <v>181</v>
      </c>
    </row>
    <row r="17" spans="1:23" x14ac:dyDescent="0.35">
      <c r="A17" s="201" t="s">
        <v>157</v>
      </c>
      <c r="B17" s="43">
        <v>447</v>
      </c>
      <c r="C17" s="6">
        <v>183</v>
      </c>
      <c r="D17" s="44">
        <v>40.9</v>
      </c>
      <c r="E17" s="6" t="s">
        <v>243</v>
      </c>
      <c r="F17" s="6">
        <v>121</v>
      </c>
      <c r="G17" s="44">
        <v>27.1</v>
      </c>
      <c r="H17" s="6" t="s">
        <v>244</v>
      </c>
      <c r="I17" s="6" t="s">
        <v>119</v>
      </c>
      <c r="J17" s="44" t="s">
        <v>128</v>
      </c>
      <c r="K17" s="6" t="s">
        <v>128</v>
      </c>
      <c r="L17" s="6" t="s">
        <v>119</v>
      </c>
      <c r="M17" s="44" t="s">
        <v>128</v>
      </c>
      <c r="N17" s="6" t="s">
        <v>128</v>
      </c>
      <c r="O17" s="6">
        <v>62</v>
      </c>
      <c r="P17" s="44">
        <v>13.9</v>
      </c>
      <c r="Q17" s="6" t="s">
        <v>245</v>
      </c>
      <c r="R17" s="6">
        <v>0</v>
      </c>
      <c r="S17" s="44">
        <v>0</v>
      </c>
      <c r="T17" s="6" t="s">
        <v>193</v>
      </c>
      <c r="U17" s="6">
        <v>0</v>
      </c>
      <c r="V17" s="44">
        <v>0</v>
      </c>
      <c r="W17" s="6" t="s">
        <v>193</v>
      </c>
    </row>
    <row r="18" spans="1:23" x14ac:dyDescent="0.35">
      <c r="A18" s="201" t="s">
        <v>133</v>
      </c>
      <c r="B18" s="43">
        <v>150</v>
      </c>
      <c r="C18" s="6">
        <v>34</v>
      </c>
      <c r="D18" s="44">
        <v>22.7</v>
      </c>
      <c r="E18" s="6" t="s">
        <v>246</v>
      </c>
      <c r="F18" s="6">
        <v>24</v>
      </c>
      <c r="G18" s="44">
        <v>16</v>
      </c>
      <c r="H18" s="6" t="s">
        <v>247</v>
      </c>
      <c r="I18" s="6">
        <v>11</v>
      </c>
      <c r="J18" s="44">
        <v>7.3</v>
      </c>
      <c r="K18" s="6" t="s">
        <v>248</v>
      </c>
      <c r="L18" s="6">
        <v>0</v>
      </c>
      <c r="M18" s="44">
        <v>0</v>
      </c>
      <c r="N18" s="6" t="s">
        <v>201</v>
      </c>
      <c r="O18" s="6">
        <v>10</v>
      </c>
      <c r="P18" s="44">
        <v>6.7</v>
      </c>
      <c r="Q18" s="6" t="s">
        <v>249</v>
      </c>
      <c r="R18" s="6">
        <v>0</v>
      </c>
      <c r="S18" s="44">
        <v>0</v>
      </c>
      <c r="T18" s="6" t="s">
        <v>201</v>
      </c>
      <c r="U18" s="6">
        <v>0</v>
      </c>
      <c r="V18" s="44">
        <v>0</v>
      </c>
      <c r="W18" s="6" t="s">
        <v>201</v>
      </c>
    </row>
    <row r="19" spans="1:23" x14ac:dyDescent="0.35">
      <c r="A19" s="201" t="s">
        <v>134</v>
      </c>
      <c r="B19" s="43">
        <v>150</v>
      </c>
      <c r="C19" s="6">
        <v>120</v>
      </c>
      <c r="D19" s="44">
        <v>80</v>
      </c>
      <c r="E19" s="6" t="s">
        <v>250</v>
      </c>
      <c r="F19" s="6">
        <v>102</v>
      </c>
      <c r="G19" s="44">
        <v>68</v>
      </c>
      <c r="H19" s="6" t="s">
        <v>251</v>
      </c>
      <c r="I19" s="6">
        <v>32</v>
      </c>
      <c r="J19" s="44">
        <v>21.3</v>
      </c>
      <c r="K19" s="6" t="s">
        <v>252</v>
      </c>
      <c r="L19" s="6">
        <v>0</v>
      </c>
      <c r="M19" s="44">
        <v>0</v>
      </c>
      <c r="N19" s="6" t="s">
        <v>201</v>
      </c>
      <c r="O19" s="6">
        <v>12</v>
      </c>
      <c r="P19" s="44">
        <v>8</v>
      </c>
      <c r="Q19" s="6" t="s">
        <v>253</v>
      </c>
      <c r="R19" s="6">
        <v>6</v>
      </c>
      <c r="S19" s="44">
        <v>4</v>
      </c>
      <c r="T19" s="6" t="s">
        <v>254</v>
      </c>
      <c r="U19" s="6">
        <v>0</v>
      </c>
      <c r="V19" s="44">
        <v>0</v>
      </c>
      <c r="W19" s="6" t="s">
        <v>201</v>
      </c>
    </row>
    <row r="20" spans="1:23" x14ac:dyDescent="0.35">
      <c r="A20" s="201" t="s">
        <v>135</v>
      </c>
      <c r="B20" s="43">
        <v>33</v>
      </c>
      <c r="C20" s="6">
        <v>3</v>
      </c>
      <c r="D20" s="44">
        <v>9.1</v>
      </c>
      <c r="E20" s="6" t="s">
        <v>255</v>
      </c>
      <c r="F20" s="6">
        <v>1</v>
      </c>
      <c r="G20" s="44">
        <v>3</v>
      </c>
      <c r="H20" s="6" t="s">
        <v>256</v>
      </c>
      <c r="I20" s="6">
        <v>0</v>
      </c>
      <c r="J20" s="44">
        <v>0</v>
      </c>
      <c r="K20" s="6" t="s">
        <v>257</v>
      </c>
      <c r="L20" s="6">
        <v>0</v>
      </c>
      <c r="M20" s="44">
        <v>0</v>
      </c>
      <c r="N20" s="6" t="s">
        <v>257</v>
      </c>
      <c r="O20" s="6">
        <v>2</v>
      </c>
      <c r="P20" s="44">
        <v>6.1</v>
      </c>
      <c r="Q20" s="6" t="s">
        <v>258</v>
      </c>
      <c r="R20" s="6">
        <v>0</v>
      </c>
      <c r="S20" s="44">
        <v>0</v>
      </c>
      <c r="T20" s="6" t="s">
        <v>257</v>
      </c>
      <c r="U20" s="6">
        <v>0</v>
      </c>
      <c r="V20" s="44">
        <v>0</v>
      </c>
      <c r="W20" s="6" t="s">
        <v>257</v>
      </c>
    </row>
    <row r="21" spans="1:23" x14ac:dyDescent="0.35">
      <c r="A21" s="201" t="s">
        <v>136</v>
      </c>
      <c r="B21" s="43">
        <v>170</v>
      </c>
      <c r="C21" s="6">
        <v>145</v>
      </c>
      <c r="D21" s="44">
        <v>85.3</v>
      </c>
      <c r="E21" s="6" t="s">
        <v>259</v>
      </c>
      <c r="F21" s="6">
        <v>131</v>
      </c>
      <c r="G21" s="44">
        <v>77.099999999999994</v>
      </c>
      <c r="H21" s="6" t="s">
        <v>260</v>
      </c>
      <c r="I21" s="6">
        <v>24</v>
      </c>
      <c r="J21" s="44">
        <v>14.1</v>
      </c>
      <c r="K21" s="6" t="s">
        <v>261</v>
      </c>
      <c r="L21" s="6">
        <v>8</v>
      </c>
      <c r="M21" s="44">
        <v>4.7</v>
      </c>
      <c r="N21" s="6" t="s">
        <v>262</v>
      </c>
      <c r="O21" s="6">
        <v>7</v>
      </c>
      <c r="P21" s="44">
        <v>4.0999999999999996</v>
      </c>
      <c r="Q21" s="6" t="s">
        <v>263</v>
      </c>
      <c r="R21" s="6">
        <v>7</v>
      </c>
      <c r="S21" s="44">
        <v>4.0999999999999996</v>
      </c>
      <c r="T21" s="6" t="s">
        <v>263</v>
      </c>
      <c r="U21" s="6">
        <v>0</v>
      </c>
      <c r="V21" s="44">
        <v>0</v>
      </c>
      <c r="W21" s="6" t="s">
        <v>264</v>
      </c>
    </row>
    <row r="22" spans="1:23" x14ac:dyDescent="0.35">
      <c r="A22" s="201" t="s">
        <v>137</v>
      </c>
      <c r="B22" s="43">
        <v>301</v>
      </c>
      <c r="C22" s="6">
        <v>44</v>
      </c>
      <c r="D22" s="44">
        <v>14.6</v>
      </c>
      <c r="E22" s="6" t="s">
        <v>265</v>
      </c>
      <c r="F22" s="6">
        <v>44</v>
      </c>
      <c r="G22" s="44">
        <v>14.6</v>
      </c>
      <c r="H22" s="6" t="s">
        <v>265</v>
      </c>
      <c r="I22" s="6" t="s">
        <v>119</v>
      </c>
      <c r="J22" s="44" t="s">
        <v>128</v>
      </c>
      <c r="K22" s="6" t="s">
        <v>128</v>
      </c>
      <c r="L22" s="6" t="s">
        <v>119</v>
      </c>
      <c r="M22" s="44" t="s">
        <v>128</v>
      </c>
      <c r="N22" s="6" t="s">
        <v>128</v>
      </c>
      <c r="O22" s="6">
        <v>0</v>
      </c>
      <c r="P22" s="44">
        <v>0</v>
      </c>
      <c r="Q22" s="6" t="s">
        <v>181</v>
      </c>
      <c r="R22" s="6">
        <v>0</v>
      </c>
      <c r="S22" s="44">
        <v>0</v>
      </c>
      <c r="T22" s="6" t="s">
        <v>181</v>
      </c>
      <c r="U22" s="6">
        <v>0</v>
      </c>
      <c r="V22" s="44">
        <v>0</v>
      </c>
      <c r="W22" s="6" t="s">
        <v>181</v>
      </c>
    </row>
    <row r="23" spans="1:23" x14ac:dyDescent="0.35">
      <c r="A23" s="201" t="s">
        <v>138</v>
      </c>
      <c r="B23" s="43">
        <v>352</v>
      </c>
      <c r="C23" s="6">
        <v>96</v>
      </c>
      <c r="D23" s="44">
        <v>27.3</v>
      </c>
      <c r="E23" s="6" t="s">
        <v>266</v>
      </c>
      <c r="F23" s="6">
        <v>71</v>
      </c>
      <c r="G23" s="44">
        <v>20.2</v>
      </c>
      <c r="H23" s="6" t="s">
        <v>267</v>
      </c>
      <c r="I23" s="6">
        <v>5</v>
      </c>
      <c r="J23" s="44">
        <v>1.4</v>
      </c>
      <c r="K23" s="6" t="s">
        <v>268</v>
      </c>
      <c r="L23" s="6">
        <v>4</v>
      </c>
      <c r="M23" s="44">
        <v>1.1000000000000001</v>
      </c>
      <c r="N23" s="6" t="s">
        <v>269</v>
      </c>
      <c r="O23" s="6">
        <v>20</v>
      </c>
      <c r="P23" s="44">
        <v>5.7</v>
      </c>
      <c r="Q23" s="6" t="s">
        <v>270</v>
      </c>
      <c r="R23" s="6">
        <v>5</v>
      </c>
      <c r="S23" s="44">
        <v>1.4</v>
      </c>
      <c r="T23" s="6" t="s">
        <v>268</v>
      </c>
      <c r="U23" s="6">
        <v>0</v>
      </c>
      <c r="V23" s="44">
        <v>0</v>
      </c>
      <c r="W23" s="6" t="s">
        <v>271</v>
      </c>
    </row>
    <row r="24" spans="1:23" x14ac:dyDescent="0.35">
      <c r="A24" s="201" t="s">
        <v>139</v>
      </c>
      <c r="B24" s="43">
        <v>320</v>
      </c>
      <c r="C24" s="6">
        <v>216</v>
      </c>
      <c r="D24" s="44">
        <v>68.400000000000006</v>
      </c>
      <c r="E24" s="6" t="s">
        <v>272</v>
      </c>
      <c r="F24" s="6">
        <v>175</v>
      </c>
      <c r="G24" s="44">
        <v>55.5</v>
      </c>
      <c r="H24" s="6" t="s">
        <v>273</v>
      </c>
      <c r="I24" s="6">
        <v>13</v>
      </c>
      <c r="J24" s="44">
        <v>4.0999999999999996</v>
      </c>
      <c r="K24" s="6" t="s">
        <v>274</v>
      </c>
      <c r="L24" s="6">
        <v>1</v>
      </c>
      <c r="M24" s="44">
        <v>0.3</v>
      </c>
      <c r="N24" s="6" t="s">
        <v>222</v>
      </c>
      <c r="O24" s="6">
        <v>34</v>
      </c>
      <c r="P24" s="44">
        <v>10.8</v>
      </c>
      <c r="Q24" s="6" t="s">
        <v>275</v>
      </c>
      <c r="R24" s="6">
        <v>7</v>
      </c>
      <c r="S24" s="44">
        <v>2.2000000000000002</v>
      </c>
      <c r="T24" s="6" t="s">
        <v>276</v>
      </c>
      <c r="U24" s="6">
        <v>0</v>
      </c>
      <c r="V24" s="44">
        <v>0</v>
      </c>
      <c r="W24" s="6" t="s">
        <v>181</v>
      </c>
    </row>
    <row r="25" spans="1:23" x14ac:dyDescent="0.35">
      <c r="A25" s="201" t="s">
        <v>140</v>
      </c>
      <c r="B25" s="43">
        <v>450</v>
      </c>
      <c r="C25" s="6">
        <v>284</v>
      </c>
      <c r="D25" s="44">
        <v>63.1</v>
      </c>
      <c r="E25" s="6" t="s">
        <v>277</v>
      </c>
      <c r="F25" s="6">
        <v>195</v>
      </c>
      <c r="G25" s="44">
        <v>43.3</v>
      </c>
      <c r="H25" s="6" t="s">
        <v>278</v>
      </c>
      <c r="I25" s="6">
        <v>42</v>
      </c>
      <c r="J25" s="44">
        <v>9.3000000000000007</v>
      </c>
      <c r="K25" s="6" t="s">
        <v>279</v>
      </c>
      <c r="L25" s="6">
        <v>0</v>
      </c>
      <c r="M25" s="44">
        <v>0</v>
      </c>
      <c r="N25" s="6" t="s">
        <v>193</v>
      </c>
      <c r="O25" s="6">
        <v>75</v>
      </c>
      <c r="P25" s="44">
        <v>16.7</v>
      </c>
      <c r="Q25" s="6" t="s">
        <v>280</v>
      </c>
      <c r="R25" s="6">
        <v>14</v>
      </c>
      <c r="S25" s="44">
        <v>3.1</v>
      </c>
      <c r="T25" s="6" t="s">
        <v>281</v>
      </c>
      <c r="U25" s="6">
        <v>0</v>
      </c>
      <c r="V25" s="44">
        <v>0</v>
      </c>
      <c r="W25" s="6" t="s">
        <v>193</v>
      </c>
    </row>
    <row r="26" spans="1:23" x14ac:dyDescent="0.35">
      <c r="A26" s="201" t="s">
        <v>141</v>
      </c>
      <c r="B26" s="43">
        <v>301</v>
      </c>
      <c r="C26" s="6">
        <v>90</v>
      </c>
      <c r="D26" s="44">
        <v>29.9</v>
      </c>
      <c r="E26" s="6" t="s">
        <v>282</v>
      </c>
      <c r="F26" s="6">
        <v>63</v>
      </c>
      <c r="G26" s="44">
        <v>20.9</v>
      </c>
      <c r="H26" s="6" t="s">
        <v>283</v>
      </c>
      <c r="I26" s="6">
        <v>44</v>
      </c>
      <c r="J26" s="44">
        <v>14.6</v>
      </c>
      <c r="K26" s="6" t="s">
        <v>265</v>
      </c>
      <c r="L26" s="6">
        <v>1</v>
      </c>
      <c r="M26" s="44">
        <v>0.3</v>
      </c>
      <c r="N26" s="6" t="s">
        <v>182</v>
      </c>
      <c r="O26" s="6">
        <v>27</v>
      </c>
      <c r="P26" s="44">
        <v>9</v>
      </c>
      <c r="Q26" s="6" t="s">
        <v>284</v>
      </c>
      <c r="R26" s="6">
        <v>0</v>
      </c>
      <c r="S26" s="44">
        <v>0</v>
      </c>
      <c r="T26" s="6" t="s">
        <v>181</v>
      </c>
      <c r="U26" s="6">
        <v>0</v>
      </c>
      <c r="V26" s="44">
        <v>0</v>
      </c>
      <c r="W26" s="6" t="s">
        <v>181</v>
      </c>
    </row>
    <row r="27" spans="1:23" x14ac:dyDescent="0.35">
      <c r="A27" s="201" t="s">
        <v>142</v>
      </c>
      <c r="B27" s="43">
        <v>169</v>
      </c>
      <c r="C27" s="6">
        <v>50</v>
      </c>
      <c r="D27" s="44">
        <v>29.6</v>
      </c>
      <c r="E27" s="6" t="s">
        <v>285</v>
      </c>
      <c r="F27" s="6">
        <v>23</v>
      </c>
      <c r="G27" s="44">
        <v>13.6</v>
      </c>
      <c r="H27" s="6" t="s">
        <v>286</v>
      </c>
      <c r="I27" s="6">
        <v>14</v>
      </c>
      <c r="J27" s="44">
        <v>8.3000000000000007</v>
      </c>
      <c r="K27" s="6" t="s">
        <v>287</v>
      </c>
      <c r="L27" s="6">
        <v>1</v>
      </c>
      <c r="M27" s="44">
        <v>0.6</v>
      </c>
      <c r="N27" s="6" t="s">
        <v>288</v>
      </c>
      <c r="O27" s="6">
        <v>27</v>
      </c>
      <c r="P27" s="44">
        <v>16</v>
      </c>
      <c r="Q27" s="6" t="s">
        <v>289</v>
      </c>
      <c r="R27" s="6">
        <v>0</v>
      </c>
      <c r="S27" s="44">
        <v>0</v>
      </c>
      <c r="T27" s="6" t="s">
        <v>264</v>
      </c>
      <c r="U27" s="6">
        <v>0</v>
      </c>
      <c r="V27" s="44">
        <v>0</v>
      </c>
      <c r="W27" s="6" t="s">
        <v>264</v>
      </c>
    </row>
    <row r="28" spans="1:23" x14ac:dyDescent="0.35">
      <c r="A28" s="201" t="s">
        <v>143</v>
      </c>
      <c r="B28" s="43">
        <v>557</v>
      </c>
      <c r="C28" s="6">
        <v>241</v>
      </c>
      <c r="D28" s="44">
        <v>43.3</v>
      </c>
      <c r="E28" s="6" t="s">
        <v>290</v>
      </c>
      <c r="F28" s="6">
        <v>187</v>
      </c>
      <c r="G28" s="44">
        <v>33.6</v>
      </c>
      <c r="H28" s="6" t="s">
        <v>291</v>
      </c>
      <c r="I28" s="6">
        <v>16</v>
      </c>
      <c r="J28" s="44">
        <v>2.9</v>
      </c>
      <c r="K28" s="6" t="s">
        <v>292</v>
      </c>
      <c r="L28" s="6">
        <v>2</v>
      </c>
      <c r="M28" s="44">
        <v>0.4</v>
      </c>
      <c r="N28" s="6" t="s">
        <v>293</v>
      </c>
      <c r="O28" s="6">
        <v>42</v>
      </c>
      <c r="P28" s="44">
        <v>7.5</v>
      </c>
      <c r="Q28" s="6" t="s">
        <v>294</v>
      </c>
      <c r="R28" s="6">
        <v>12</v>
      </c>
      <c r="S28" s="44">
        <v>2.2000000000000002</v>
      </c>
      <c r="T28" s="6" t="s">
        <v>295</v>
      </c>
      <c r="U28" s="6">
        <v>0</v>
      </c>
      <c r="V28" s="44">
        <v>0</v>
      </c>
      <c r="W28" s="6" t="s">
        <v>296</v>
      </c>
    </row>
    <row r="29" spans="1:23" x14ac:dyDescent="0.35">
      <c r="A29" s="201" t="s">
        <v>297</v>
      </c>
      <c r="B29" s="43">
        <v>300</v>
      </c>
      <c r="C29" s="6">
        <v>9</v>
      </c>
      <c r="D29" s="44">
        <v>3</v>
      </c>
      <c r="E29" s="6" t="s">
        <v>242</v>
      </c>
      <c r="F29" s="6">
        <v>9</v>
      </c>
      <c r="G29" s="44">
        <v>3</v>
      </c>
      <c r="H29" s="6" t="s">
        <v>242</v>
      </c>
      <c r="I29" s="6" t="s">
        <v>119</v>
      </c>
      <c r="J29" s="44" t="s">
        <v>128</v>
      </c>
      <c r="K29" s="6" t="s">
        <v>128</v>
      </c>
      <c r="L29" s="6" t="s">
        <v>119</v>
      </c>
      <c r="M29" s="44" t="s">
        <v>128</v>
      </c>
      <c r="N29" s="6" t="s">
        <v>128</v>
      </c>
      <c r="O29" s="6">
        <v>0</v>
      </c>
      <c r="P29" s="44">
        <v>0</v>
      </c>
      <c r="Q29" s="6" t="s">
        <v>181</v>
      </c>
      <c r="R29" s="6">
        <v>0</v>
      </c>
      <c r="S29" s="44">
        <v>0</v>
      </c>
      <c r="T29" s="6" t="s">
        <v>181</v>
      </c>
      <c r="U29" s="6">
        <v>0</v>
      </c>
      <c r="V29" s="44">
        <v>0</v>
      </c>
      <c r="W29" s="6" t="s">
        <v>181</v>
      </c>
    </row>
    <row r="30" spans="1:23" ht="15" thickBot="1" x14ac:dyDescent="0.4">
      <c r="A30" s="201" t="s">
        <v>298</v>
      </c>
      <c r="B30" s="43">
        <v>390</v>
      </c>
      <c r="C30" s="6">
        <v>12</v>
      </c>
      <c r="D30" s="44">
        <v>3.1</v>
      </c>
      <c r="E30" s="44" t="s">
        <v>299</v>
      </c>
      <c r="F30" s="6">
        <v>9</v>
      </c>
      <c r="G30" s="44">
        <v>2.2999999999999998</v>
      </c>
      <c r="H30" s="44" t="s">
        <v>300</v>
      </c>
      <c r="I30" s="6">
        <v>0</v>
      </c>
      <c r="J30" s="44">
        <v>0</v>
      </c>
      <c r="K30" s="6" t="s">
        <v>226</v>
      </c>
      <c r="L30" s="6">
        <v>1</v>
      </c>
      <c r="M30" s="44">
        <v>0.3</v>
      </c>
      <c r="N30" s="6" t="s">
        <v>301</v>
      </c>
      <c r="O30" s="6">
        <v>3</v>
      </c>
      <c r="P30" s="44">
        <v>0.8</v>
      </c>
      <c r="Q30" s="44" t="s">
        <v>302</v>
      </c>
      <c r="R30" s="6">
        <v>0</v>
      </c>
      <c r="S30" s="44">
        <v>0</v>
      </c>
      <c r="T30" s="44" t="s">
        <v>226</v>
      </c>
      <c r="U30" s="6">
        <v>0</v>
      </c>
      <c r="V30" s="44">
        <v>0</v>
      </c>
      <c r="W30" s="44" t="s">
        <v>226</v>
      </c>
    </row>
    <row r="31" spans="1:23" ht="15" thickBot="1" x14ac:dyDescent="0.4">
      <c r="A31" s="203" t="s">
        <v>167</v>
      </c>
      <c r="B31" s="90">
        <f>SUM(B3:B30)</f>
        <v>8859</v>
      </c>
      <c r="C31" s="90">
        <f>SUM(C3:C30)</f>
        <v>2993</v>
      </c>
      <c r="D31" s="81">
        <v>34.200000000000003</v>
      </c>
      <c r="E31" s="81" t="s">
        <v>303</v>
      </c>
      <c r="F31" s="90">
        <f>SUM(F3:F30)</f>
        <v>2379</v>
      </c>
      <c r="G31" s="81">
        <v>27.2</v>
      </c>
      <c r="H31" s="81" t="s">
        <v>304</v>
      </c>
      <c r="I31" s="90">
        <f>SUM(I3:I30)</f>
        <v>406</v>
      </c>
      <c r="J31" s="81">
        <v>6.7</v>
      </c>
      <c r="K31" s="82" t="s">
        <v>305</v>
      </c>
      <c r="L31" s="90">
        <f>SUM(L3:L30)</f>
        <v>38</v>
      </c>
      <c r="M31" s="81">
        <v>0.6</v>
      </c>
      <c r="N31" s="82" t="s">
        <v>306</v>
      </c>
      <c r="O31" s="90">
        <f>SUM(O3:O30)</f>
        <v>518</v>
      </c>
      <c r="P31" s="81">
        <v>5.9</v>
      </c>
      <c r="Q31" s="81" t="s">
        <v>307</v>
      </c>
      <c r="R31" s="90">
        <f>SUM(R3:R30)</f>
        <v>98</v>
      </c>
      <c r="S31" s="81">
        <v>1.1000000000000001</v>
      </c>
      <c r="T31" s="81" t="s">
        <v>308</v>
      </c>
      <c r="U31" s="90">
        <f>SUM(U3:U30)</f>
        <v>1</v>
      </c>
      <c r="V31" s="81" t="s">
        <v>1017</v>
      </c>
      <c r="W31" s="81" t="s">
        <v>310</v>
      </c>
    </row>
    <row r="32" spans="1:23" x14ac:dyDescent="0.35">
      <c r="A32" s="202" t="s">
        <v>147</v>
      </c>
      <c r="B32" s="141">
        <v>148</v>
      </c>
      <c r="C32" s="141">
        <v>0</v>
      </c>
      <c r="D32" s="142">
        <v>0</v>
      </c>
      <c r="E32" s="143" t="s">
        <v>311</v>
      </c>
      <c r="F32" s="143">
        <v>0</v>
      </c>
      <c r="G32" s="142">
        <v>0</v>
      </c>
      <c r="H32" s="143" t="s">
        <v>311</v>
      </c>
      <c r="I32" s="143">
        <v>0</v>
      </c>
      <c r="J32" s="142">
        <v>0</v>
      </c>
      <c r="K32" s="143" t="s">
        <v>311</v>
      </c>
      <c r="L32" s="143">
        <v>0</v>
      </c>
      <c r="M32" s="142">
        <v>0</v>
      </c>
      <c r="N32" s="143" t="s">
        <v>311</v>
      </c>
      <c r="O32" s="143">
        <v>0</v>
      </c>
      <c r="P32" s="142">
        <v>0</v>
      </c>
      <c r="Q32" s="143" t="s">
        <v>311</v>
      </c>
      <c r="R32" s="143">
        <v>0</v>
      </c>
      <c r="S32" s="142">
        <v>0</v>
      </c>
      <c r="T32" s="143" t="s">
        <v>311</v>
      </c>
      <c r="U32" s="143">
        <v>0</v>
      </c>
      <c r="V32" s="142">
        <v>0</v>
      </c>
      <c r="W32" s="143" t="s">
        <v>311</v>
      </c>
    </row>
    <row r="33" spans="1:23" x14ac:dyDescent="0.35">
      <c r="A33" s="201" t="s">
        <v>169</v>
      </c>
      <c r="B33" s="43">
        <v>336</v>
      </c>
      <c r="C33" s="43">
        <v>9</v>
      </c>
      <c r="D33" s="44">
        <v>2.7</v>
      </c>
      <c r="E33" s="44" t="s">
        <v>312</v>
      </c>
      <c r="F33" s="6"/>
      <c r="G33" s="44">
        <v>0</v>
      </c>
      <c r="H33" s="44" t="s">
        <v>212</v>
      </c>
      <c r="I33" s="44" t="s">
        <v>119</v>
      </c>
      <c r="J33" s="44" t="s">
        <v>128</v>
      </c>
      <c r="K33" s="6" t="s">
        <v>128</v>
      </c>
      <c r="L33" s="6" t="s">
        <v>119</v>
      </c>
      <c r="M33" s="44" t="s">
        <v>128</v>
      </c>
      <c r="N33" s="6" t="s">
        <v>128</v>
      </c>
      <c r="O33" s="6">
        <v>9</v>
      </c>
      <c r="P33" s="44">
        <v>2.7</v>
      </c>
      <c r="Q33" s="44" t="s">
        <v>312</v>
      </c>
      <c r="R33" s="6">
        <v>0</v>
      </c>
      <c r="S33" s="44">
        <v>0</v>
      </c>
      <c r="T33" s="44" t="s">
        <v>212</v>
      </c>
      <c r="U33" s="6">
        <v>0</v>
      </c>
      <c r="V33" s="44">
        <v>0</v>
      </c>
      <c r="W33" s="44" t="s">
        <v>212</v>
      </c>
    </row>
    <row r="34" spans="1:23" ht="15" thickBot="1" x14ac:dyDescent="0.4">
      <c r="A34" s="201" t="s">
        <v>150</v>
      </c>
      <c r="B34" s="43">
        <v>309</v>
      </c>
      <c r="C34" s="43">
        <v>14</v>
      </c>
      <c r="D34" s="44">
        <v>4.5</v>
      </c>
      <c r="E34" s="6" t="s">
        <v>313</v>
      </c>
      <c r="F34" s="6">
        <v>13</v>
      </c>
      <c r="G34" s="44">
        <v>4.2</v>
      </c>
      <c r="H34" s="6" t="s">
        <v>314</v>
      </c>
      <c r="I34" s="6">
        <v>1</v>
      </c>
      <c r="J34" s="44">
        <v>0.3</v>
      </c>
      <c r="K34" s="6" t="s">
        <v>182</v>
      </c>
      <c r="L34" s="6">
        <v>1</v>
      </c>
      <c r="M34" s="44">
        <v>0.3</v>
      </c>
      <c r="N34" s="6" t="s">
        <v>182</v>
      </c>
      <c r="O34" s="6">
        <v>1</v>
      </c>
      <c r="P34" s="44">
        <v>0.3</v>
      </c>
      <c r="Q34" s="6" t="s">
        <v>182</v>
      </c>
      <c r="R34" s="6">
        <v>0</v>
      </c>
      <c r="S34" s="44">
        <v>0</v>
      </c>
      <c r="T34" s="6" t="s">
        <v>181</v>
      </c>
      <c r="U34" s="6">
        <v>0</v>
      </c>
      <c r="V34" s="44">
        <v>0</v>
      </c>
      <c r="W34" s="6" t="s">
        <v>181</v>
      </c>
    </row>
    <row r="35" spans="1:23" ht="15" thickBot="1" x14ac:dyDescent="0.4">
      <c r="A35" s="208" t="s">
        <v>315</v>
      </c>
      <c r="B35" s="187">
        <f>SUM(B32:B34)</f>
        <v>793</v>
      </c>
      <c r="C35" s="187">
        <f>SUM(C32:C34)</f>
        <v>23</v>
      </c>
      <c r="D35" s="185">
        <v>2.9</v>
      </c>
      <c r="E35" s="188" t="s">
        <v>316</v>
      </c>
      <c r="F35" s="187">
        <f>SUM(F32:F34)</f>
        <v>13</v>
      </c>
      <c r="G35" s="185">
        <v>1.6</v>
      </c>
      <c r="H35" s="188" t="s">
        <v>317</v>
      </c>
      <c r="I35" s="187">
        <f>SUM(I32:I34)</f>
        <v>1</v>
      </c>
      <c r="J35" s="185">
        <v>0.2</v>
      </c>
      <c r="K35" s="179" t="s">
        <v>181</v>
      </c>
      <c r="L35" s="187">
        <f>SUM(L32:L34)</f>
        <v>1</v>
      </c>
      <c r="M35" s="185">
        <v>0.2</v>
      </c>
      <c r="N35" s="179" t="s">
        <v>181</v>
      </c>
      <c r="O35" s="187">
        <f>SUM(O32:O34)</f>
        <v>10</v>
      </c>
      <c r="P35" s="185">
        <v>1.3</v>
      </c>
      <c r="Q35" s="188" t="s">
        <v>318</v>
      </c>
      <c r="R35" s="187">
        <f>SUM(R32:R34)</f>
        <v>0</v>
      </c>
      <c r="S35" s="185">
        <v>0</v>
      </c>
      <c r="T35" s="188" t="s">
        <v>319</v>
      </c>
      <c r="U35" s="187">
        <f>SUM(U32:U34)</f>
        <v>0</v>
      </c>
      <c r="V35" s="185">
        <v>0</v>
      </c>
      <c r="W35" s="188" t="s">
        <v>319</v>
      </c>
    </row>
    <row r="36" spans="1:23" ht="15" thickBot="1" x14ac:dyDescent="0.4">
      <c r="A36" s="203" t="s">
        <v>320</v>
      </c>
      <c r="B36" s="90">
        <f>SUM(B31,B35)</f>
        <v>9652</v>
      </c>
      <c r="C36" s="90">
        <f>SUM(C31,C35)</f>
        <v>3016</v>
      </c>
      <c r="D36" s="81">
        <v>31.2</v>
      </c>
      <c r="E36" s="83" t="s">
        <v>321</v>
      </c>
      <c r="F36" s="90">
        <f>SUM(F31,F35)</f>
        <v>2392</v>
      </c>
      <c r="G36" s="81">
        <v>24.8</v>
      </c>
      <c r="H36" s="83" t="s">
        <v>322</v>
      </c>
      <c r="I36" s="90">
        <f>SUM(I31,I35)</f>
        <v>407</v>
      </c>
      <c r="J36" s="81">
        <v>6.1</v>
      </c>
      <c r="K36" s="83" t="s">
        <v>323</v>
      </c>
      <c r="L36" s="90">
        <f>SUM(L31,L35)</f>
        <v>39</v>
      </c>
      <c r="M36" s="81">
        <v>0.6</v>
      </c>
      <c r="N36" s="83" t="s">
        <v>306</v>
      </c>
      <c r="O36" s="90">
        <f>SUM(O31,O35)</f>
        <v>528</v>
      </c>
      <c r="P36" s="81">
        <v>5.5</v>
      </c>
      <c r="Q36" s="83" t="s">
        <v>324</v>
      </c>
      <c r="R36" s="90">
        <f>SUM(R31,R35)</f>
        <v>98</v>
      </c>
      <c r="S36" s="81">
        <v>1</v>
      </c>
      <c r="T36" s="83" t="s">
        <v>325</v>
      </c>
      <c r="U36" s="90">
        <f>SUM(U31,U35)</f>
        <v>1</v>
      </c>
      <c r="V36" s="81">
        <v>0</v>
      </c>
      <c r="W36" s="81" t="s">
        <v>310</v>
      </c>
    </row>
    <row r="37" spans="1:23" x14ac:dyDescent="0.35">
      <c r="A37" s="209"/>
      <c r="B37" s="9"/>
      <c r="C37" s="9"/>
      <c r="D37" s="10"/>
      <c r="E37" s="26"/>
      <c r="F37" s="26"/>
      <c r="G37" s="10"/>
      <c r="H37" s="26"/>
      <c r="I37" s="26"/>
      <c r="J37" s="10"/>
      <c r="K37" s="26"/>
      <c r="L37" s="26"/>
      <c r="M37" s="10"/>
      <c r="N37" s="26"/>
      <c r="O37" s="26"/>
      <c r="P37" s="10"/>
      <c r="Q37" s="26"/>
      <c r="R37" s="26"/>
      <c r="S37" s="10"/>
      <c r="T37" s="26"/>
      <c r="U37" s="26"/>
      <c r="V37" s="10"/>
      <c r="W37" s="10"/>
    </row>
    <row r="38" spans="1:23" x14ac:dyDescent="0.35">
      <c r="B38" s="175"/>
      <c r="C38" s="245" t="s">
        <v>326</v>
      </c>
      <c r="D38" s="246"/>
      <c r="E38" s="246"/>
      <c r="F38" s="247"/>
      <c r="G38" s="246"/>
      <c r="H38" s="246"/>
      <c r="I38" s="247"/>
      <c r="J38" s="248"/>
      <c r="K38" s="60"/>
      <c r="L38" s="2"/>
      <c r="M38"/>
      <c r="O38" s="2"/>
      <c r="P38"/>
      <c r="R38" s="2"/>
      <c r="S38"/>
      <c r="U38" s="2"/>
      <c r="V38"/>
    </row>
    <row r="39" spans="1:23" x14ac:dyDescent="0.35">
      <c r="B39" s="165" t="s">
        <v>153</v>
      </c>
      <c r="C39" s="249" t="s">
        <v>154</v>
      </c>
      <c r="D39" s="250"/>
      <c r="E39" s="250"/>
      <c r="F39" s="251"/>
      <c r="G39" s="250"/>
      <c r="H39" s="250"/>
      <c r="I39" s="251"/>
      <c r="J39" s="252"/>
      <c r="K39" s="60"/>
      <c r="L39" s="2"/>
      <c r="M39"/>
      <c r="O39" s="2"/>
      <c r="P39"/>
      <c r="R39" s="2"/>
      <c r="S39"/>
      <c r="U39" s="2"/>
      <c r="V39"/>
    </row>
  </sheetData>
  <mergeCells count="11">
    <mergeCell ref="C39:J39"/>
    <mergeCell ref="O1:Q1"/>
    <mergeCell ref="R1:T1"/>
    <mergeCell ref="U1:W1"/>
    <mergeCell ref="I1:K1"/>
    <mergeCell ref="L1:N1"/>
    <mergeCell ref="A1:A2"/>
    <mergeCell ref="B1:B2"/>
    <mergeCell ref="C1:E1"/>
    <mergeCell ref="F1:H1"/>
    <mergeCell ref="C38:J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8">
    <tabColor theme="7" tint="0.79998168889431442"/>
  </sheetPr>
  <dimension ref="A1:W19"/>
  <sheetViews>
    <sheetView zoomScale="80" zoomScaleNormal="80" workbookViewId="0">
      <pane ySplit="2" topLeftCell="A3" activePane="bottomLeft" state="frozen"/>
      <selection pane="bottomLeft" activeCell="A4" sqref="A4:XFD4"/>
    </sheetView>
  </sheetViews>
  <sheetFormatPr defaultColWidth="10.6328125" defaultRowHeight="14.5" x14ac:dyDescent="0.35"/>
  <cols>
    <col min="1" max="1" width="32.54296875" style="211" customWidth="1"/>
    <col min="2" max="2" width="11.90625" style="4" customWidth="1"/>
    <col min="3" max="23" width="10.36328125" style="4" customWidth="1"/>
    <col min="24" max="16384" width="10.6328125" style="4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85" t="s">
        <v>83</v>
      </c>
      <c r="J2" s="94" t="s">
        <v>175</v>
      </c>
      <c r="K2" s="85" t="s">
        <v>176</v>
      </c>
      <c r="L2" s="85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3" t="s">
        <v>177</v>
      </c>
      <c r="B3" s="45">
        <v>158</v>
      </c>
      <c r="C3" s="6">
        <v>30</v>
      </c>
      <c r="D3" s="48">
        <v>19</v>
      </c>
      <c r="E3" s="7" t="s">
        <v>327</v>
      </c>
      <c r="F3" s="6">
        <v>19</v>
      </c>
      <c r="G3" s="48">
        <v>12</v>
      </c>
      <c r="H3" s="7" t="s">
        <v>328</v>
      </c>
      <c r="I3" s="7" t="s">
        <v>119</v>
      </c>
      <c r="J3" s="48" t="s">
        <v>128</v>
      </c>
      <c r="K3" s="7" t="s">
        <v>128</v>
      </c>
      <c r="L3" s="7" t="s">
        <v>119</v>
      </c>
      <c r="M3" s="48" t="s">
        <v>128</v>
      </c>
      <c r="N3" s="7" t="s">
        <v>128</v>
      </c>
      <c r="O3" s="6">
        <v>11</v>
      </c>
      <c r="P3" s="48">
        <v>7</v>
      </c>
      <c r="Q3" s="7" t="s">
        <v>329</v>
      </c>
      <c r="R3" s="6">
        <v>0</v>
      </c>
      <c r="S3" s="48">
        <v>0</v>
      </c>
      <c r="T3" s="7" t="s">
        <v>330</v>
      </c>
      <c r="U3" s="6">
        <v>0</v>
      </c>
      <c r="V3" s="7">
        <v>0</v>
      </c>
      <c r="W3" s="7" t="s">
        <v>330</v>
      </c>
    </row>
    <row r="4" spans="1:23" x14ac:dyDescent="0.35">
      <c r="A4" s="23" t="s">
        <v>120</v>
      </c>
      <c r="B4" s="45">
        <v>82</v>
      </c>
      <c r="C4" s="6">
        <v>3</v>
      </c>
      <c r="D4" s="48">
        <v>3.7</v>
      </c>
      <c r="E4" s="7" t="s">
        <v>331</v>
      </c>
      <c r="F4" s="6">
        <v>3</v>
      </c>
      <c r="G4" s="48">
        <v>3.7</v>
      </c>
      <c r="H4" s="7" t="s">
        <v>331</v>
      </c>
      <c r="I4" s="7">
        <v>1</v>
      </c>
      <c r="J4" s="71">
        <v>1.2</v>
      </c>
      <c r="K4" s="71" t="s">
        <v>332</v>
      </c>
      <c r="L4" s="71">
        <v>0</v>
      </c>
      <c r="M4" s="71">
        <v>0</v>
      </c>
      <c r="N4" s="71" t="s">
        <v>333</v>
      </c>
      <c r="O4" s="6">
        <v>0</v>
      </c>
      <c r="P4" s="48">
        <v>0</v>
      </c>
      <c r="Q4" s="7" t="s">
        <v>334</v>
      </c>
      <c r="R4" s="6">
        <v>0</v>
      </c>
      <c r="S4" s="48">
        <v>0</v>
      </c>
      <c r="T4" s="7" t="s">
        <v>334</v>
      </c>
      <c r="U4" s="6">
        <v>0</v>
      </c>
      <c r="V4" s="7">
        <v>0</v>
      </c>
      <c r="W4" s="7" t="s">
        <v>334</v>
      </c>
    </row>
    <row r="5" spans="1:23" x14ac:dyDescent="0.35">
      <c r="A5" s="23" t="s">
        <v>126</v>
      </c>
      <c r="B5" s="45">
        <v>330</v>
      </c>
      <c r="C5" s="6">
        <v>21</v>
      </c>
      <c r="D5" s="48">
        <v>6.4</v>
      </c>
      <c r="E5" s="7" t="s">
        <v>335</v>
      </c>
      <c r="F5" s="6">
        <v>18</v>
      </c>
      <c r="G5" s="48">
        <v>5.5</v>
      </c>
      <c r="H5" s="7" t="s">
        <v>336</v>
      </c>
      <c r="I5" s="7">
        <v>3</v>
      </c>
      <c r="J5" s="71">
        <v>0.9</v>
      </c>
      <c r="K5" s="71" t="s">
        <v>221</v>
      </c>
      <c r="L5" s="71">
        <v>1</v>
      </c>
      <c r="M5" s="71">
        <v>0.3</v>
      </c>
      <c r="N5" s="71" t="s">
        <v>337</v>
      </c>
      <c r="O5" s="6">
        <v>3</v>
      </c>
      <c r="P5" s="48">
        <v>0.9</v>
      </c>
      <c r="Q5" s="7" t="s">
        <v>221</v>
      </c>
      <c r="R5" s="6">
        <v>0</v>
      </c>
      <c r="S5" s="48">
        <v>0</v>
      </c>
      <c r="T5" s="7" t="s">
        <v>212</v>
      </c>
      <c r="U5" s="6">
        <v>0</v>
      </c>
      <c r="V5" s="7">
        <v>0</v>
      </c>
      <c r="W5" s="7" t="s">
        <v>212</v>
      </c>
    </row>
    <row r="6" spans="1:23" x14ac:dyDescent="0.35">
      <c r="A6" s="23" t="s">
        <v>127</v>
      </c>
      <c r="B6" s="45">
        <v>359</v>
      </c>
      <c r="C6" s="6">
        <v>114</v>
      </c>
      <c r="D6" s="48">
        <v>32.299999999999997</v>
      </c>
      <c r="E6" s="7" t="s">
        <v>338</v>
      </c>
      <c r="F6" s="6">
        <v>93</v>
      </c>
      <c r="G6" s="48">
        <v>26.4</v>
      </c>
      <c r="H6" s="7" t="s">
        <v>339</v>
      </c>
      <c r="I6" s="7" t="s">
        <v>119</v>
      </c>
      <c r="J6" s="7" t="s">
        <v>128</v>
      </c>
      <c r="K6" s="7" t="s">
        <v>128</v>
      </c>
      <c r="L6" s="7" t="s">
        <v>119</v>
      </c>
      <c r="M6" s="7" t="s">
        <v>128</v>
      </c>
      <c r="N6" s="7" t="s">
        <v>128</v>
      </c>
      <c r="O6" s="6">
        <v>21</v>
      </c>
      <c r="P6" s="48">
        <v>6</v>
      </c>
      <c r="Q6" s="7" t="s">
        <v>340</v>
      </c>
      <c r="R6" s="6">
        <v>0</v>
      </c>
      <c r="S6" s="48">
        <v>0</v>
      </c>
      <c r="T6" s="7" t="s">
        <v>271</v>
      </c>
      <c r="U6" s="6">
        <v>0</v>
      </c>
      <c r="V6" s="7">
        <v>0</v>
      </c>
      <c r="W6" s="7" t="s">
        <v>271</v>
      </c>
    </row>
    <row r="7" spans="1:23" x14ac:dyDescent="0.35">
      <c r="A7" s="23" t="s">
        <v>130</v>
      </c>
      <c r="B7" s="45">
        <v>567</v>
      </c>
      <c r="C7" s="6">
        <v>54</v>
      </c>
      <c r="D7" s="48">
        <v>9.5</v>
      </c>
      <c r="E7" s="7" t="s">
        <v>341</v>
      </c>
      <c r="F7" s="6">
        <v>35</v>
      </c>
      <c r="G7" s="48">
        <v>6.2</v>
      </c>
      <c r="H7" s="7" t="s">
        <v>342</v>
      </c>
      <c r="I7" s="7">
        <v>15</v>
      </c>
      <c r="J7" s="7">
        <v>2.6</v>
      </c>
      <c r="K7" s="7" t="s">
        <v>343</v>
      </c>
      <c r="L7" s="7">
        <v>0</v>
      </c>
      <c r="M7" s="7">
        <v>0</v>
      </c>
      <c r="N7" s="7" t="s">
        <v>296</v>
      </c>
      <c r="O7" s="6">
        <v>16</v>
      </c>
      <c r="P7" s="48">
        <v>2.8</v>
      </c>
      <c r="Q7" s="7" t="s">
        <v>344</v>
      </c>
      <c r="R7" s="6">
        <v>3</v>
      </c>
      <c r="S7" s="48">
        <v>0.5</v>
      </c>
      <c r="T7" s="7" t="s">
        <v>345</v>
      </c>
      <c r="U7" s="6">
        <v>0</v>
      </c>
      <c r="V7" s="7">
        <v>0</v>
      </c>
      <c r="W7" s="7" t="s">
        <v>296</v>
      </c>
    </row>
    <row r="8" spans="1:23" x14ac:dyDescent="0.35">
      <c r="A8" s="23" t="s">
        <v>131</v>
      </c>
      <c r="B8" s="45">
        <v>92</v>
      </c>
      <c r="C8" s="6">
        <v>16</v>
      </c>
      <c r="D8" s="48">
        <v>17.399999999999999</v>
      </c>
      <c r="E8" s="7" t="s">
        <v>346</v>
      </c>
      <c r="F8" s="6">
        <v>15</v>
      </c>
      <c r="G8" s="48">
        <v>16.3</v>
      </c>
      <c r="H8" s="7" t="s">
        <v>347</v>
      </c>
      <c r="I8" s="7">
        <v>6</v>
      </c>
      <c r="J8" s="71">
        <v>6.5</v>
      </c>
      <c r="K8" s="71" t="s">
        <v>348</v>
      </c>
      <c r="L8" s="7">
        <v>1</v>
      </c>
      <c r="M8" s="71">
        <v>1.1000000000000001</v>
      </c>
      <c r="N8" s="71" t="s">
        <v>349</v>
      </c>
      <c r="O8" s="6">
        <v>1</v>
      </c>
      <c r="P8" s="48">
        <v>1.1000000000000001</v>
      </c>
      <c r="Q8" s="7" t="s">
        <v>350</v>
      </c>
      <c r="R8" s="6">
        <v>0</v>
      </c>
      <c r="S8" s="48">
        <v>0</v>
      </c>
      <c r="T8" s="7" t="s">
        <v>351</v>
      </c>
      <c r="U8" s="6">
        <v>0</v>
      </c>
      <c r="V8" s="7">
        <v>0</v>
      </c>
      <c r="W8" s="7" t="s">
        <v>351</v>
      </c>
    </row>
    <row r="9" spans="1:23" x14ac:dyDescent="0.35">
      <c r="A9" s="23" t="s">
        <v>157</v>
      </c>
      <c r="B9" s="45">
        <v>373</v>
      </c>
      <c r="C9" s="6">
        <v>119</v>
      </c>
      <c r="D9" s="48">
        <v>31.9</v>
      </c>
      <c r="E9" s="7" t="s">
        <v>352</v>
      </c>
      <c r="F9" s="6">
        <v>116</v>
      </c>
      <c r="G9" s="48">
        <v>31.1</v>
      </c>
      <c r="H9" s="7" t="s">
        <v>353</v>
      </c>
      <c r="I9" s="7" t="s">
        <v>119</v>
      </c>
      <c r="J9" s="7" t="s">
        <v>128</v>
      </c>
      <c r="K9" s="7" t="s">
        <v>128</v>
      </c>
      <c r="L9" s="7" t="s">
        <v>119</v>
      </c>
      <c r="M9" s="7" t="s">
        <v>128</v>
      </c>
      <c r="N9" s="7" t="s">
        <v>128</v>
      </c>
      <c r="O9" s="6">
        <v>3</v>
      </c>
      <c r="P9" s="48">
        <v>0.8</v>
      </c>
      <c r="Q9" s="7" t="s">
        <v>354</v>
      </c>
      <c r="R9" s="6">
        <v>0</v>
      </c>
      <c r="S9" s="48">
        <v>0</v>
      </c>
      <c r="T9" s="7" t="s">
        <v>271</v>
      </c>
      <c r="U9" s="6">
        <v>0</v>
      </c>
      <c r="V9" s="7">
        <v>0</v>
      </c>
      <c r="W9" s="7" t="s">
        <v>271</v>
      </c>
    </row>
    <row r="10" spans="1:23" x14ac:dyDescent="0.35">
      <c r="A10" s="23" t="s">
        <v>138</v>
      </c>
      <c r="B10" s="45">
        <v>308</v>
      </c>
      <c r="C10" s="6">
        <v>83</v>
      </c>
      <c r="D10" s="48">
        <v>27.3</v>
      </c>
      <c r="E10" s="7" t="s">
        <v>355</v>
      </c>
      <c r="F10" s="6">
        <v>66</v>
      </c>
      <c r="G10" s="48">
        <v>21.7</v>
      </c>
      <c r="H10" s="7" t="s">
        <v>356</v>
      </c>
      <c r="I10" s="7">
        <v>7</v>
      </c>
      <c r="J10" s="71">
        <v>2.2999999999999998</v>
      </c>
      <c r="K10" s="71" t="s">
        <v>357</v>
      </c>
      <c r="L10" s="71">
        <v>1</v>
      </c>
      <c r="M10" s="71">
        <v>0.3</v>
      </c>
      <c r="N10" s="71" t="s">
        <v>337</v>
      </c>
      <c r="O10" s="6">
        <v>7</v>
      </c>
      <c r="P10" s="48">
        <v>2.2999999999999998</v>
      </c>
      <c r="Q10" s="7" t="s">
        <v>357</v>
      </c>
      <c r="R10" s="6">
        <v>10</v>
      </c>
      <c r="S10" s="48">
        <v>3.3</v>
      </c>
      <c r="T10" s="7" t="s">
        <v>358</v>
      </c>
      <c r="U10" s="6">
        <v>0</v>
      </c>
      <c r="V10" s="7">
        <v>0</v>
      </c>
      <c r="W10" s="7" t="s">
        <v>181</v>
      </c>
    </row>
    <row r="11" spans="1:23" x14ac:dyDescent="0.35">
      <c r="A11" s="23" t="s">
        <v>139</v>
      </c>
      <c r="B11" s="45">
        <v>130</v>
      </c>
      <c r="C11" s="6">
        <v>73</v>
      </c>
      <c r="D11" s="48">
        <v>56.9</v>
      </c>
      <c r="E11" s="7" t="s">
        <v>359</v>
      </c>
      <c r="F11" s="6">
        <v>66</v>
      </c>
      <c r="G11" s="48">
        <v>51.5</v>
      </c>
      <c r="H11" s="7" t="s">
        <v>360</v>
      </c>
      <c r="I11" s="7">
        <v>4</v>
      </c>
      <c r="J11" s="71">
        <v>3.1</v>
      </c>
      <c r="K11" s="71" t="s">
        <v>361</v>
      </c>
      <c r="L11" s="7">
        <v>0</v>
      </c>
      <c r="M11" s="71">
        <v>0</v>
      </c>
      <c r="N11" s="71" t="s">
        <v>333</v>
      </c>
      <c r="O11" s="6">
        <v>4</v>
      </c>
      <c r="P11" s="48">
        <v>3.1</v>
      </c>
      <c r="Q11" s="7" t="s">
        <v>361</v>
      </c>
      <c r="R11" s="6">
        <v>3</v>
      </c>
      <c r="S11" s="48">
        <v>2.2999999999999998</v>
      </c>
      <c r="T11" s="7" t="s">
        <v>362</v>
      </c>
      <c r="U11" s="6">
        <v>0</v>
      </c>
      <c r="V11" s="7">
        <v>0</v>
      </c>
      <c r="W11" s="7" t="s">
        <v>363</v>
      </c>
    </row>
    <row r="12" spans="1:23" x14ac:dyDescent="0.35">
      <c r="A12" s="23" t="s">
        <v>140</v>
      </c>
      <c r="B12" s="47">
        <v>150</v>
      </c>
      <c r="C12" s="6">
        <v>76</v>
      </c>
      <c r="D12" s="48">
        <v>50.7</v>
      </c>
      <c r="E12" s="7" t="s">
        <v>364</v>
      </c>
      <c r="F12" s="6">
        <v>64</v>
      </c>
      <c r="G12" s="48">
        <v>42.7</v>
      </c>
      <c r="H12" s="7" t="s">
        <v>365</v>
      </c>
      <c r="I12" s="7">
        <v>12</v>
      </c>
      <c r="J12" s="71">
        <v>8</v>
      </c>
      <c r="K12" s="71" t="s">
        <v>253</v>
      </c>
      <c r="L12" s="71">
        <v>3</v>
      </c>
      <c r="M12" s="71">
        <v>2</v>
      </c>
      <c r="N12" s="71" t="s">
        <v>366</v>
      </c>
      <c r="O12" s="6">
        <v>1</v>
      </c>
      <c r="P12" s="48">
        <v>0.7</v>
      </c>
      <c r="Q12" s="7" t="s">
        <v>202</v>
      </c>
      <c r="R12" s="6">
        <v>11</v>
      </c>
      <c r="S12" s="48">
        <v>7.3</v>
      </c>
      <c r="T12" s="7" t="s">
        <v>248</v>
      </c>
      <c r="U12" s="6">
        <v>0</v>
      </c>
      <c r="V12" s="7">
        <v>0</v>
      </c>
      <c r="W12" s="7" t="s">
        <v>201</v>
      </c>
    </row>
    <row r="13" spans="1:23" x14ac:dyDescent="0.35">
      <c r="A13" s="23" t="s">
        <v>143</v>
      </c>
      <c r="B13" s="51">
        <v>540</v>
      </c>
      <c r="C13" s="6">
        <v>250</v>
      </c>
      <c r="D13" s="48">
        <v>46.3</v>
      </c>
      <c r="E13" s="7" t="s">
        <v>367</v>
      </c>
      <c r="F13" s="6">
        <v>242</v>
      </c>
      <c r="G13" s="48">
        <v>44.8</v>
      </c>
      <c r="H13" s="7" t="s">
        <v>368</v>
      </c>
      <c r="I13" s="7">
        <v>15</v>
      </c>
      <c r="J13" s="71">
        <v>2.8</v>
      </c>
      <c r="K13" s="71" t="s">
        <v>344</v>
      </c>
      <c r="L13" s="71">
        <v>4</v>
      </c>
      <c r="M13" s="71">
        <v>0.7</v>
      </c>
      <c r="N13" s="71" t="s">
        <v>369</v>
      </c>
      <c r="O13" s="6">
        <v>2</v>
      </c>
      <c r="P13" s="48">
        <v>0.4</v>
      </c>
      <c r="Q13" s="7" t="s">
        <v>293</v>
      </c>
      <c r="R13" s="6">
        <v>6</v>
      </c>
      <c r="S13" s="48">
        <v>1.1000000000000001</v>
      </c>
      <c r="T13" s="7" t="s">
        <v>370</v>
      </c>
      <c r="U13" s="6">
        <v>0</v>
      </c>
      <c r="V13" s="7">
        <v>0</v>
      </c>
      <c r="W13" s="7" t="s">
        <v>296</v>
      </c>
    </row>
    <row r="14" spans="1:23" ht="15" thickBot="1" x14ac:dyDescent="0.4">
      <c r="A14" s="144" t="s">
        <v>144</v>
      </c>
      <c r="B14" s="145">
        <v>29</v>
      </c>
      <c r="C14" s="143">
        <v>0</v>
      </c>
      <c r="D14" s="146">
        <v>0</v>
      </c>
      <c r="E14" s="147" t="s">
        <v>371</v>
      </c>
      <c r="F14" s="143">
        <v>0</v>
      </c>
      <c r="G14" s="146">
        <v>0</v>
      </c>
      <c r="H14" s="147" t="s">
        <v>371</v>
      </c>
      <c r="I14" s="147">
        <v>0</v>
      </c>
      <c r="J14" s="148">
        <v>0</v>
      </c>
      <c r="K14" s="148" t="s">
        <v>371</v>
      </c>
      <c r="L14" s="148">
        <v>0</v>
      </c>
      <c r="M14" s="148">
        <v>0</v>
      </c>
      <c r="N14" s="148" t="s">
        <v>333</v>
      </c>
      <c r="O14" s="143">
        <v>0</v>
      </c>
      <c r="P14" s="146">
        <v>0</v>
      </c>
      <c r="Q14" s="147" t="s">
        <v>371</v>
      </c>
      <c r="R14" s="143">
        <v>0</v>
      </c>
      <c r="S14" s="146">
        <v>0</v>
      </c>
      <c r="T14" s="147" t="s">
        <v>371</v>
      </c>
      <c r="U14" s="143">
        <v>0</v>
      </c>
      <c r="V14" s="147">
        <v>0</v>
      </c>
      <c r="W14" s="147" t="s">
        <v>371</v>
      </c>
    </row>
    <row r="15" spans="1:23" s="27" customFormat="1" ht="15" thickBot="1" x14ac:dyDescent="0.4">
      <c r="A15" s="210" t="s">
        <v>158</v>
      </c>
      <c r="B15" s="84">
        <f>SUM(B3:B14)</f>
        <v>3118</v>
      </c>
      <c r="C15" s="84">
        <f>SUM(C3:C14)</f>
        <v>839</v>
      </c>
      <c r="D15" s="74">
        <v>27</v>
      </c>
      <c r="E15" s="74" t="s">
        <v>372</v>
      </c>
      <c r="F15" s="84">
        <f>SUM(F3:F14)</f>
        <v>737</v>
      </c>
      <c r="G15" s="74">
        <v>23.8</v>
      </c>
      <c r="H15" s="74" t="s">
        <v>373</v>
      </c>
      <c r="I15" s="84">
        <f>SUM(I3:I14)</f>
        <v>63</v>
      </c>
      <c r="J15" s="89">
        <v>2.8</v>
      </c>
      <c r="K15" s="89" t="s">
        <v>374</v>
      </c>
      <c r="L15" s="84">
        <f>SUM(L3:L14)</f>
        <v>10</v>
      </c>
      <c r="M15" s="89">
        <v>0.5</v>
      </c>
      <c r="N15" s="89" t="s">
        <v>375</v>
      </c>
      <c r="O15" s="84">
        <f>SUM(O3:O14)</f>
        <v>69</v>
      </c>
      <c r="P15" s="74">
        <v>2.2000000000000002</v>
      </c>
      <c r="Q15" s="74" t="s">
        <v>376</v>
      </c>
      <c r="R15" s="84">
        <f>SUM(R3:R14)</f>
        <v>33</v>
      </c>
      <c r="S15" s="74">
        <v>1.1000000000000001</v>
      </c>
      <c r="T15" s="74" t="s">
        <v>377</v>
      </c>
      <c r="U15" s="84">
        <f>SUM(U3:U14)</f>
        <v>0</v>
      </c>
      <c r="V15" s="76">
        <v>0</v>
      </c>
      <c r="W15" s="74" t="s">
        <v>310</v>
      </c>
    </row>
    <row r="16" spans="1:23" s="27" customFormat="1" ht="15" thickBot="1" x14ac:dyDescent="0.4">
      <c r="A16" s="210" t="s">
        <v>378</v>
      </c>
      <c r="B16" s="84">
        <f>B15</f>
        <v>3118</v>
      </c>
      <c r="C16" s="84">
        <f>C15</f>
        <v>839</v>
      </c>
      <c r="D16" s="74">
        <v>27</v>
      </c>
      <c r="E16" s="74" t="s">
        <v>372</v>
      </c>
      <c r="F16" s="84">
        <f>F15</f>
        <v>737</v>
      </c>
      <c r="G16" s="74">
        <v>23.8</v>
      </c>
      <c r="H16" s="74" t="s">
        <v>373</v>
      </c>
      <c r="I16" s="84">
        <f>I15</f>
        <v>63</v>
      </c>
      <c r="J16" s="89">
        <v>2.8</v>
      </c>
      <c r="K16" s="89" t="s">
        <v>374</v>
      </c>
      <c r="L16" s="84">
        <f>L15</f>
        <v>10</v>
      </c>
      <c r="M16" s="89">
        <v>0.5</v>
      </c>
      <c r="N16" s="89" t="s">
        <v>375</v>
      </c>
      <c r="O16" s="84">
        <f>O15</f>
        <v>69</v>
      </c>
      <c r="P16" s="74">
        <v>2.2000000000000002</v>
      </c>
      <c r="Q16" s="74" t="s">
        <v>376</v>
      </c>
      <c r="R16" s="84">
        <f>R15</f>
        <v>33</v>
      </c>
      <c r="S16" s="74">
        <v>1.1000000000000001</v>
      </c>
      <c r="T16" s="74" t="s">
        <v>377</v>
      </c>
      <c r="U16" s="84">
        <f>U15</f>
        <v>0</v>
      </c>
      <c r="V16" s="76">
        <v>0</v>
      </c>
      <c r="W16" s="74" t="s">
        <v>310</v>
      </c>
    </row>
    <row r="18" spans="2:11" x14ac:dyDescent="0.35">
      <c r="B18" s="175"/>
      <c r="C18" s="245" t="s">
        <v>326</v>
      </c>
      <c r="D18" s="246"/>
      <c r="E18" s="246"/>
      <c r="F18" s="246"/>
      <c r="G18" s="246"/>
      <c r="H18" s="246"/>
      <c r="I18" s="246"/>
      <c r="J18" s="248"/>
      <c r="K18" s="60"/>
    </row>
    <row r="19" spans="2:11" x14ac:dyDescent="0.35">
      <c r="B19" s="165" t="s">
        <v>153</v>
      </c>
      <c r="C19" s="249" t="s">
        <v>154</v>
      </c>
      <c r="D19" s="250"/>
      <c r="E19" s="250"/>
      <c r="F19" s="250"/>
      <c r="G19" s="250"/>
      <c r="H19" s="250"/>
      <c r="I19" s="250"/>
      <c r="J19" s="252"/>
      <c r="K19" s="60"/>
    </row>
  </sheetData>
  <mergeCells count="11">
    <mergeCell ref="U1:W1"/>
    <mergeCell ref="C18:J18"/>
    <mergeCell ref="C19:J19"/>
    <mergeCell ref="L1:N1"/>
    <mergeCell ref="O1:Q1"/>
    <mergeCell ref="R1:T1"/>
    <mergeCell ref="A1:A2"/>
    <mergeCell ref="B1:B2"/>
    <mergeCell ref="C1:E1"/>
    <mergeCell ref="F1:H1"/>
    <mergeCell ref="I1:K1"/>
  </mergeCells>
  <phoneticPr fontId="2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2">
    <tabColor theme="7" tint="0.79998168889431442"/>
  </sheetPr>
  <dimension ref="A1:W39"/>
  <sheetViews>
    <sheetView zoomScale="80" zoomScaleNormal="80" workbookViewId="0">
      <pane ySplit="2" topLeftCell="A3" activePane="bottomLeft" state="frozen"/>
      <selection pane="bottomLeft" activeCell="A6" sqref="A6:XFD6"/>
    </sheetView>
  </sheetViews>
  <sheetFormatPr defaultColWidth="10.6328125" defaultRowHeight="14.5" x14ac:dyDescent="0.35"/>
  <cols>
    <col min="1" max="1" width="32.54296875" style="60" customWidth="1"/>
    <col min="2" max="2" width="10.6328125" style="55"/>
    <col min="3" max="23" width="10.36328125" style="55" customWidth="1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85" t="s">
        <v>83</v>
      </c>
      <c r="J2" s="94" t="s">
        <v>175</v>
      </c>
      <c r="K2" s="85" t="s">
        <v>176</v>
      </c>
      <c r="L2" s="85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01" t="s">
        <v>177</v>
      </c>
      <c r="B3" s="43">
        <v>297</v>
      </c>
      <c r="C3" s="6">
        <v>194</v>
      </c>
      <c r="D3" s="44">
        <v>65.319999999999993</v>
      </c>
      <c r="E3" s="6" t="s">
        <v>379</v>
      </c>
      <c r="F3" s="6">
        <v>182</v>
      </c>
      <c r="G3" s="44">
        <v>61.28</v>
      </c>
      <c r="H3" s="6" t="s">
        <v>380</v>
      </c>
      <c r="I3" s="6" t="s">
        <v>119</v>
      </c>
      <c r="J3" s="6" t="s">
        <v>128</v>
      </c>
      <c r="K3" s="6" t="s">
        <v>128</v>
      </c>
      <c r="L3" s="6" t="s">
        <v>119</v>
      </c>
      <c r="M3" s="6" t="s">
        <v>128</v>
      </c>
      <c r="N3" s="6" t="s">
        <v>128</v>
      </c>
      <c r="O3" s="6">
        <v>13</v>
      </c>
      <c r="P3" s="44">
        <v>4.38</v>
      </c>
      <c r="Q3" s="6" t="s">
        <v>381</v>
      </c>
      <c r="R3" s="6">
        <v>1</v>
      </c>
      <c r="S3" s="44">
        <v>0.34</v>
      </c>
      <c r="T3" s="6" t="s">
        <v>382</v>
      </c>
      <c r="U3" s="6">
        <v>0</v>
      </c>
      <c r="V3" s="44">
        <v>0</v>
      </c>
      <c r="W3" s="6" t="s">
        <v>383</v>
      </c>
    </row>
    <row r="4" spans="1:23" x14ac:dyDescent="0.35">
      <c r="A4" s="201" t="s">
        <v>183</v>
      </c>
      <c r="B4" s="43">
        <v>311</v>
      </c>
      <c r="C4" s="6">
        <v>81</v>
      </c>
      <c r="D4" s="44">
        <v>26.63</v>
      </c>
      <c r="E4" s="6" t="s">
        <v>384</v>
      </c>
      <c r="F4" s="6">
        <v>66</v>
      </c>
      <c r="G4" s="44">
        <v>21.7</v>
      </c>
      <c r="H4" s="6" t="s">
        <v>385</v>
      </c>
      <c r="I4" s="6" t="s">
        <v>119</v>
      </c>
      <c r="J4" s="6" t="s">
        <v>128</v>
      </c>
      <c r="K4" s="6" t="s">
        <v>128</v>
      </c>
      <c r="L4" s="6" t="s">
        <v>119</v>
      </c>
      <c r="M4" s="6" t="s">
        <v>128</v>
      </c>
      <c r="N4" s="6" t="s">
        <v>128</v>
      </c>
      <c r="O4" s="6">
        <v>15</v>
      </c>
      <c r="P4" s="44">
        <v>4.93</v>
      </c>
      <c r="Q4" s="6" t="s">
        <v>386</v>
      </c>
      <c r="R4" s="6">
        <v>0</v>
      </c>
      <c r="S4" s="44">
        <v>0</v>
      </c>
      <c r="T4" s="6" t="s">
        <v>383</v>
      </c>
      <c r="U4" s="6">
        <v>0</v>
      </c>
      <c r="V4" s="44">
        <v>0</v>
      </c>
      <c r="W4" s="6" t="s">
        <v>383</v>
      </c>
    </row>
    <row r="5" spans="1:23" x14ac:dyDescent="0.35">
      <c r="A5" s="201" t="s">
        <v>118</v>
      </c>
      <c r="B5" s="43">
        <v>609</v>
      </c>
      <c r="C5" s="6">
        <v>221</v>
      </c>
      <c r="D5" s="44">
        <v>36.29</v>
      </c>
      <c r="E5" s="6" t="s">
        <v>387</v>
      </c>
      <c r="F5" s="6">
        <v>204</v>
      </c>
      <c r="G5" s="44">
        <v>33.5</v>
      </c>
      <c r="H5" s="6" t="s">
        <v>388</v>
      </c>
      <c r="I5" s="6">
        <v>100</v>
      </c>
      <c r="J5" s="44">
        <v>16.420000000000002</v>
      </c>
      <c r="K5" s="6" t="s">
        <v>389</v>
      </c>
      <c r="L5" s="6">
        <v>6</v>
      </c>
      <c r="M5" s="44">
        <v>0.98522167487684731</v>
      </c>
      <c r="N5" s="6" t="s">
        <v>390</v>
      </c>
      <c r="O5" s="6">
        <v>13</v>
      </c>
      <c r="P5" s="44">
        <v>2.13</v>
      </c>
      <c r="Q5" s="6" t="s">
        <v>391</v>
      </c>
      <c r="R5" s="6">
        <v>4</v>
      </c>
      <c r="S5" s="44">
        <v>0.66</v>
      </c>
      <c r="T5" s="6" t="s">
        <v>392</v>
      </c>
      <c r="U5" s="6">
        <v>0</v>
      </c>
      <c r="V5" s="44">
        <v>0</v>
      </c>
      <c r="W5" s="6" t="s">
        <v>393</v>
      </c>
    </row>
    <row r="6" spans="1:23" x14ac:dyDescent="0.35">
      <c r="A6" s="201" t="s">
        <v>120</v>
      </c>
      <c r="B6" s="43">
        <v>290</v>
      </c>
      <c r="C6" s="6">
        <v>131</v>
      </c>
      <c r="D6" s="44">
        <v>45.17</v>
      </c>
      <c r="E6" s="6" t="s">
        <v>394</v>
      </c>
      <c r="F6" s="6">
        <v>109</v>
      </c>
      <c r="G6" s="44">
        <v>37.590000000000003</v>
      </c>
      <c r="H6" s="6" t="s">
        <v>395</v>
      </c>
      <c r="I6" s="6">
        <v>16</v>
      </c>
      <c r="J6" s="44">
        <v>5.52</v>
      </c>
      <c r="K6" s="6" t="s">
        <v>396</v>
      </c>
      <c r="L6" s="6">
        <v>0</v>
      </c>
      <c r="M6" s="44">
        <v>0</v>
      </c>
      <c r="N6" s="6" t="s">
        <v>397</v>
      </c>
      <c r="O6" s="6">
        <v>22</v>
      </c>
      <c r="P6" s="44">
        <v>7.59</v>
      </c>
      <c r="Q6" s="6" t="s">
        <v>398</v>
      </c>
      <c r="R6" s="6">
        <v>0</v>
      </c>
      <c r="S6" s="44">
        <v>0</v>
      </c>
      <c r="T6" s="6" t="s">
        <v>399</v>
      </c>
      <c r="U6" s="6">
        <v>0</v>
      </c>
      <c r="V6" s="44">
        <v>0</v>
      </c>
      <c r="W6" s="6" t="s">
        <v>399</v>
      </c>
    </row>
    <row r="7" spans="1:23" x14ac:dyDescent="0.35">
      <c r="A7" s="201" t="s">
        <v>121</v>
      </c>
      <c r="B7" s="43">
        <v>81</v>
      </c>
      <c r="C7" s="6">
        <v>7</v>
      </c>
      <c r="D7" s="44">
        <v>8.64</v>
      </c>
      <c r="E7" s="6" t="s">
        <v>400</v>
      </c>
      <c r="F7" s="6">
        <v>5</v>
      </c>
      <c r="G7" s="44">
        <v>6.17</v>
      </c>
      <c r="H7" s="6" t="s">
        <v>401</v>
      </c>
      <c r="I7" s="6">
        <v>0</v>
      </c>
      <c r="J7" s="44">
        <v>0</v>
      </c>
      <c r="K7" s="6" t="s">
        <v>402</v>
      </c>
      <c r="L7" s="6">
        <v>0</v>
      </c>
      <c r="M7" s="44">
        <v>0</v>
      </c>
      <c r="N7" s="6" t="s">
        <v>402</v>
      </c>
      <c r="O7" s="6">
        <v>2</v>
      </c>
      <c r="P7" s="44">
        <v>2.4700000000000002</v>
      </c>
      <c r="Q7" s="6" t="s">
        <v>403</v>
      </c>
      <c r="R7" s="6">
        <v>0</v>
      </c>
      <c r="S7" s="44">
        <v>0</v>
      </c>
      <c r="T7" s="6" t="s">
        <v>404</v>
      </c>
      <c r="U7" s="6">
        <v>0</v>
      </c>
      <c r="V7" s="44">
        <v>0</v>
      </c>
      <c r="W7" s="6" t="s">
        <v>404</v>
      </c>
    </row>
    <row r="8" spans="1:23" x14ac:dyDescent="0.35">
      <c r="A8" s="201" t="s">
        <v>204</v>
      </c>
      <c r="B8" s="43">
        <v>317</v>
      </c>
      <c r="C8" s="6">
        <v>136</v>
      </c>
      <c r="D8" s="44">
        <v>42.9</v>
      </c>
      <c r="E8" s="6" t="s">
        <v>405</v>
      </c>
      <c r="F8" s="6">
        <v>81</v>
      </c>
      <c r="G8" s="44">
        <v>25.55</v>
      </c>
      <c r="H8" s="6" t="s">
        <v>406</v>
      </c>
      <c r="I8" s="6" t="s">
        <v>119</v>
      </c>
      <c r="J8" s="44" t="s">
        <v>128</v>
      </c>
      <c r="K8" s="6" t="s">
        <v>128</v>
      </c>
      <c r="L8" s="6" t="s">
        <v>119</v>
      </c>
      <c r="M8" s="44" t="s">
        <v>128</v>
      </c>
      <c r="N8" s="6" t="s">
        <v>128</v>
      </c>
      <c r="O8" s="6">
        <v>55</v>
      </c>
      <c r="P8" s="44">
        <v>17.350000000000001</v>
      </c>
      <c r="Q8" s="6" t="s">
        <v>407</v>
      </c>
      <c r="R8" s="6">
        <v>0</v>
      </c>
      <c r="S8" s="44">
        <v>0</v>
      </c>
      <c r="T8" s="6" t="s">
        <v>383</v>
      </c>
      <c r="U8" s="6">
        <v>0</v>
      </c>
      <c r="V8" s="44">
        <v>0</v>
      </c>
      <c r="W8" s="6" t="s">
        <v>383</v>
      </c>
    </row>
    <row r="9" spans="1:23" x14ac:dyDescent="0.35">
      <c r="A9" s="201" t="s">
        <v>123</v>
      </c>
      <c r="B9" s="43">
        <v>294</v>
      </c>
      <c r="C9" s="6">
        <v>51</v>
      </c>
      <c r="D9" s="44">
        <v>17.350000000000001</v>
      </c>
      <c r="E9" s="6" t="s">
        <v>408</v>
      </c>
      <c r="F9" s="6">
        <v>5</v>
      </c>
      <c r="G9" s="44">
        <v>1.7</v>
      </c>
      <c r="H9" s="6" t="s">
        <v>409</v>
      </c>
      <c r="I9" s="6">
        <v>2</v>
      </c>
      <c r="J9" s="44">
        <v>0.68</v>
      </c>
      <c r="K9" s="6" t="s">
        <v>410</v>
      </c>
      <c r="L9" s="6">
        <v>1</v>
      </c>
      <c r="M9" s="44">
        <v>0.3401360544217687</v>
      </c>
      <c r="N9" s="6" t="s">
        <v>411</v>
      </c>
      <c r="O9" s="6">
        <v>43</v>
      </c>
      <c r="P9" s="44">
        <v>14.63</v>
      </c>
      <c r="Q9" s="6" t="s">
        <v>412</v>
      </c>
      <c r="R9" s="6">
        <v>3</v>
      </c>
      <c r="S9" s="44">
        <v>1.02</v>
      </c>
      <c r="T9" s="6" t="s">
        <v>413</v>
      </c>
      <c r="U9" s="6">
        <v>0</v>
      </c>
      <c r="V9" s="44">
        <v>0</v>
      </c>
      <c r="W9" s="6" t="s">
        <v>383</v>
      </c>
    </row>
    <row r="10" spans="1:23" x14ac:dyDescent="0.35">
      <c r="A10" s="201" t="s">
        <v>124</v>
      </c>
      <c r="B10" s="43">
        <v>158</v>
      </c>
      <c r="C10" s="6">
        <v>27</v>
      </c>
      <c r="D10" s="44">
        <v>17.09</v>
      </c>
      <c r="E10" s="6" t="s">
        <v>414</v>
      </c>
      <c r="F10" s="6">
        <v>17</v>
      </c>
      <c r="G10" s="44">
        <v>10.76</v>
      </c>
      <c r="H10" s="6" t="s">
        <v>415</v>
      </c>
      <c r="I10" s="6">
        <v>2</v>
      </c>
      <c r="J10" s="44">
        <v>1.27</v>
      </c>
      <c r="K10" s="6" t="s">
        <v>416</v>
      </c>
      <c r="L10" s="6">
        <v>0</v>
      </c>
      <c r="M10" s="44">
        <v>0</v>
      </c>
      <c r="N10" s="6" t="s">
        <v>417</v>
      </c>
      <c r="O10" s="6">
        <v>10</v>
      </c>
      <c r="P10" s="44">
        <v>6.33</v>
      </c>
      <c r="Q10" s="6" t="s">
        <v>418</v>
      </c>
      <c r="R10" s="6">
        <v>0</v>
      </c>
      <c r="S10" s="44">
        <v>0</v>
      </c>
      <c r="T10" s="6" t="s">
        <v>419</v>
      </c>
      <c r="U10" s="6">
        <v>0</v>
      </c>
      <c r="V10" s="44">
        <v>0</v>
      </c>
      <c r="W10" s="6" t="s">
        <v>419</v>
      </c>
    </row>
    <row r="11" spans="1:23" x14ac:dyDescent="0.35">
      <c r="A11" s="201" t="s">
        <v>217</v>
      </c>
      <c r="B11" s="43">
        <v>300</v>
      </c>
      <c r="C11" s="6">
        <v>19</v>
      </c>
      <c r="D11" s="44">
        <v>6.33</v>
      </c>
      <c r="E11" s="6" t="s">
        <v>420</v>
      </c>
      <c r="F11" s="6">
        <v>0</v>
      </c>
      <c r="G11" s="44">
        <v>0</v>
      </c>
      <c r="H11" s="6" t="s">
        <v>383</v>
      </c>
      <c r="I11" s="6" t="s">
        <v>119</v>
      </c>
      <c r="J11" s="44" t="s">
        <v>128</v>
      </c>
      <c r="K11" s="6" t="s">
        <v>128</v>
      </c>
      <c r="L11" s="6" t="s">
        <v>119</v>
      </c>
      <c r="M11" s="44" t="s">
        <v>128</v>
      </c>
      <c r="N11" s="6" t="s">
        <v>128</v>
      </c>
      <c r="O11" s="6">
        <v>19</v>
      </c>
      <c r="P11" s="44">
        <v>6.33</v>
      </c>
      <c r="Q11" s="6" t="s">
        <v>420</v>
      </c>
      <c r="R11" s="6">
        <v>0</v>
      </c>
      <c r="S11" s="44">
        <v>0</v>
      </c>
      <c r="T11" s="6" t="s">
        <v>383</v>
      </c>
      <c r="U11" s="6">
        <v>0</v>
      </c>
      <c r="V11" s="44">
        <v>0</v>
      </c>
      <c r="W11" s="6" t="s">
        <v>383</v>
      </c>
    </row>
    <row r="12" spans="1:23" x14ac:dyDescent="0.35">
      <c r="A12" s="201" t="s">
        <v>126</v>
      </c>
      <c r="B12" s="43">
        <v>294</v>
      </c>
      <c r="C12" s="6">
        <v>20</v>
      </c>
      <c r="D12" s="44">
        <v>6.8</v>
      </c>
      <c r="E12" s="6" t="s">
        <v>421</v>
      </c>
      <c r="F12" s="6">
        <v>13</v>
      </c>
      <c r="G12" s="44">
        <v>4.42</v>
      </c>
      <c r="H12" s="6" t="s">
        <v>381</v>
      </c>
      <c r="I12" s="6">
        <v>3</v>
      </c>
      <c r="J12" s="44">
        <v>1.02</v>
      </c>
      <c r="K12" s="6" t="s">
        <v>422</v>
      </c>
      <c r="L12" s="6">
        <v>0</v>
      </c>
      <c r="M12" s="44">
        <v>0</v>
      </c>
      <c r="N12" s="6" t="s">
        <v>397</v>
      </c>
      <c r="O12" s="6">
        <v>7</v>
      </c>
      <c r="P12" s="44">
        <v>2.38</v>
      </c>
      <c r="Q12" s="6" t="s">
        <v>423</v>
      </c>
      <c r="R12" s="6">
        <v>0</v>
      </c>
      <c r="S12" s="44">
        <v>0</v>
      </c>
      <c r="T12" s="6" t="s">
        <v>383</v>
      </c>
      <c r="U12" s="6">
        <v>0</v>
      </c>
      <c r="V12" s="44">
        <v>0</v>
      </c>
      <c r="W12" s="6" t="s">
        <v>383</v>
      </c>
    </row>
    <row r="13" spans="1:23" x14ac:dyDescent="0.35">
      <c r="A13" s="201" t="s">
        <v>127</v>
      </c>
      <c r="B13" s="43">
        <v>348</v>
      </c>
      <c r="C13" s="6">
        <v>154</v>
      </c>
      <c r="D13" s="44">
        <v>44.25</v>
      </c>
      <c r="E13" s="6" t="s">
        <v>424</v>
      </c>
      <c r="F13" s="6">
        <v>118</v>
      </c>
      <c r="G13" s="44">
        <v>33.909999999999997</v>
      </c>
      <c r="H13" s="6" t="s">
        <v>425</v>
      </c>
      <c r="I13" s="6" t="s">
        <v>119</v>
      </c>
      <c r="J13" s="44" t="s">
        <v>128</v>
      </c>
      <c r="K13" s="6" t="s">
        <v>128</v>
      </c>
      <c r="L13" s="6" t="s">
        <v>119</v>
      </c>
      <c r="M13" s="44" t="s">
        <v>128</v>
      </c>
      <c r="N13" s="6" t="s">
        <v>128</v>
      </c>
      <c r="O13" s="6">
        <v>36</v>
      </c>
      <c r="P13" s="44">
        <v>10.34</v>
      </c>
      <c r="Q13" s="6" t="s">
        <v>426</v>
      </c>
      <c r="R13" s="6">
        <v>0</v>
      </c>
      <c r="S13" s="44">
        <v>0</v>
      </c>
      <c r="T13" s="6" t="s">
        <v>427</v>
      </c>
      <c r="U13" s="6">
        <v>0</v>
      </c>
      <c r="V13" s="44">
        <v>0</v>
      </c>
      <c r="W13" s="6" t="s">
        <v>427</v>
      </c>
    </row>
    <row r="14" spans="1:23" x14ac:dyDescent="0.35">
      <c r="A14" s="201" t="s">
        <v>129</v>
      </c>
      <c r="B14" s="43">
        <v>70</v>
      </c>
      <c r="C14" s="6">
        <v>32</v>
      </c>
      <c r="D14" s="44">
        <v>45.71</v>
      </c>
      <c r="E14" s="6" t="s">
        <v>428</v>
      </c>
      <c r="F14" s="6">
        <v>28</v>
      </c>
      <c r="G14" s="44">
        <v>40</v>
      </c>
      <c r="H14" s="6" t="s">
        <v>429</v>
      </c>
      <c r="I14" s="6">
        <v>2</v>
      </c>
      <c r="J14" s="44">
        <v>2.86</v>
      </c>
      <c r="K14" s="6" t="s">
        <v>430</v>
      </c>
      <c r="L14" s="6">
        <v>0</v>
      </c>
      <c r="M14" s="44">
        <v>0</v>
      </c>
      <c r="N14" s="6" t="s">
        <v>431</v>
      </c>
      <c r="O14" s="6">
        <v>3</v>
      </c>
      <c r="P14" s="44">
        <v>4.29</v>
      </c>
      <c r="Q14" s="6" t="s">
        <v>432</v>
      </c>
      <c r="R14" s="6">
        <v>1</v>
      </c>
      <c r="S14" s="44">
        <v>1.43</v>
      </c>
      <c r="T14" s="6" t="s">
        <v>433</v>
      </c>
      <c r="U14" s="6">
        <v>0</v>
      </c>
      <c r="V14" s="44">
        <v>0</v>
      </c>
      <c r="W14" s="6" t="s">
        <v>434</v>
      </c>
    </row>
    <row r="15" spans="1:23" x14ac:dyDescent="0.35">
      <c r="A15" s="201" t="s">
        <v>130</v>
      </c>
      <c r="B15" s="43">
        <v>380</v>
      </c>
      <c r="C15" s="6">
        <v>206</v>
      </c>
      <c r="D15" s="44">
        <v>54.21</v>
      </c>
      <c r="E15" s="6" t="s">
        <v>435</v>
      </c>
      <c r="F15" s="6">
        <v>178</v>
      </c>
      <c r="G15" s="44">
        <v>46.84</v>
      </c>
      <c r="H15" s="6" t="s">
        <v>436</v>
      </c>
      <c r="I15" s="6">
        <v>59</v>
      </c>
      <c r="J15" s="44">
        <v>15.53</v>
      </c>
      <c r="K15" s="6" t="s">
        <v>437</v>
      </c>
      <c r="L15" s="6">
        <v>9</v>
      </c>
      <c r="M15" s="44">
        <v>2.3684210526315792</v>
      </c>
      <c r="N15" s="6" t="s">
        <v>438</v>
      </c>
      <c r="O15" s="6">
        <v>26</v>
      </c>
      <c r="P15" s="44">
        <v>6.84</v>
      </c>
      <c r="Q15" s="6" t="s">
        <v>439</v>
      </c>
      <c r="R15" s="6">
        <v>2</v>
      </c>
      <c r="S15" s="44">
        <v>0.53</v>
      </c>
      <c r="T15" s="6" t="s">
        <v>440</v>
      </c>
      <c r="U15" s="6">
        <v>0</v>
      </c>
      <c r="V15" s="44">
        <v>0</v>
      </c>
      <c r="W15" s="6" t="s">
        <v>441</v>
      </c>
    </row>
    <row r="16" spans="1:23" x14ac:dyDescent="0.35">
      <c r="A16" s="201" t="s">
        <v>131</v>
      </c>
      <c r="B16" s="43">
        <v>300</v>
      </c>
      <c r="C16" s="6">
        <v>106</v>
      </c>
      <c r="D16" s="44">
        <v>35.33</v>
      </c>
      <c r="E16" s="6" t="s">
        <v>442</v>
      </c>
      <c r="F16" s="6">
        <v>65</v>
      </c>
      <c r="G16" s="44">
        <v>21.67</v>
      </c>
      <c r="H16" s="6" t="s">
        <v>443</v>
      </c>
      <c r="I16" s="6">
        <v>27</v>
      </c>
      <c r="J16" s="44">
        <v>9</v>
      </c>
      <c r="K16" s="6" t="s">
        <v>284</v>
      </c>
      <c r="L16" s="6">
        <v>0</v>
      </c>
      <c r="M16" s="44">
        <v>0</v>
      </c>
      <c r="N16" s="6" t="s">
        <v>444</v>
      </c>
      <c r="O16" s="6">
        <v>38</v>
      </c>
      <c r="P16" s="44">
        <v>12.67</v>
      </c>
      <c r="Q16" s="6" t="s">
        <v>445</v>
      </c>
      <c r="R16" s="6">
        <v>3</v>
      </c>
      <c r="S16" s="44">
        <v>1</v>
      </c>
      <c r="T16" s="6" t="s">
        <v>446</v>
      </c>
      <c r="U16" s="6">
        <v>0</v>
      </c>
      <c r="V16" s="44">
        <v>0</v>
      </c>
      <c r="W16" s="6" t="s">
        <v>383</v>
      </c>
    </row>
    <row r="17" spans="1:23" x14ac:dyDescent="0.35">
      <c r="A17" s="201" t="s">
        <v>157</v>
      </c>
      <c r="B17" s="43">
        <v>300</v>
      </c>
      <c r="C17" s="6">
        <v>213</v>
      </c>
      <c r="D17" s="44">
        <v>71</v>
      </c>
      <c r="E17" s="6" t="s">
        <v>447</v>
      </c>
      <c r="F17" s="6">
        <v>169</v>
      </c>
      <c r="G17" s="44">
        <v>56.33</v>
      </c>
      <c r="H17" s="6" t="s">
        <v>448</v>
      </c>
      <c r="I17" s="6" t="s">
        <v>119</v>
      </c>
      <c r="J17" s="44" t="s">
        <v>128</v>
      </c>
      <c r="K17" s="6" t="s">
        <v>128</v>
      </c>
      <c r="L17" s="6" t="s">
        <v>119</v>
      </c>
      <c r="M17" s="44" t="s">
        <v>128</v>
      </c>
      <c r="N17" s="6" t="s">
        <v>128</v>
      </c>
      <c r="O17" s="6">
        <v>44</v>
      </c>
      <c r="P17" s="44">
        <v>14.67</v>
      </c>
      <c r="Q17" s="6" t="s">
        <v>449</v>
      </c>
      <c r="R17" s="6">
        <v>0</v>
      </c>
      <c r="S17" s="44">
        <v>0</v>
      </c>
      <c r="T17" s="6" t="s">
        <v>383</v>
      </c>
      <c r="U17" s="6">
        <v>1</v>
      </c>
      <c r="V17" s="44">
        <v>0.33</v>
      </c>
      <c r="W17" s="6" t="s">
        <v>450</v>
      </c>
    </row>
    <row r="18" spans="1:23" x14ac:dyDescent="0.35">
      <c r="A18" s="201" t="s">
        <v>133</v>
      </c>
      <c r="B18" s="43">
        <v>150</v>
      </c>
      <c r="C18" s="6">
        <v>85</v>
      </c>
      <c r="D18" s="44">
        <v>56.67</v>
      </c>
      <c r="E18" s="6" t="s">
        <v>451</v>
      </c>
      <c r="F18" s="6">
        <v>79</v>
      </c>
      <c r="G18" s="44">
        <v>52.67</v>
      </c>
      <c r="H18" s="6" t="s">
        <v>452</v>
      </c>
      <c r="I18" s="6">
        <v>18</v>
      </c>
      <c r="J18" s="44">
        <v>12</v>
      </c>
      <c r="K18" s="6" t="s">
        <v>453</v>
      </c>
      <c r="L18" s="6">
        <v>0</v>
      </c>
      <c r="M18" s="44">
        <v>0</v>
      </c>
      <c r="N18" s="6" t="s">
        <v>454</v>
      </c>
      <c r="O18" s="6">
        <v>6</v>
      </c>
      <c r="P18" s="44">
        <v>4</v>
      </c>
      <c r="Q18" s="6" t="s">
        <v>455</v>
      </c>
      <c r="R18" s="6">
        <v>0</v>
      </c>
      <c r="S18" s="44">
        <v>0</v>
      </c>
      <c r="T18" s="6" t="s">
        <v>456</v>
      </c>
      <c r="U18" s="6">
        <v>0</v>
      </c>
      <c r="V18" s="44">
        <v>0</v>
      </c>
      <c r="W18" s="6" t="s">
        <v>456</v>
      </c>
    </row>
    <row r="19" spans="1:23" x14ac:dyDescent="0.35">
      <c r="A19" s="201" t="s">
        <v>134</v>
      </c>
      <c r="B19" s="43">
        <v>150</v>
      </c>
      <c r="C19" s="6">
        <v>47</v>
      </c>
      <c r="D19" s="44">
        <v>31.33</v>
      </c>
      <c r="E19" s="6" t="s">
        <v>457</v>
      </c>
      <c r="F19" s="6">
        <v>41</v>
      </c>
      <c r="G19" s="44">
        <v>27.33</v>
      </c>
      <c r="H19" s="6" t="s">
        <v>458</v>
      </c>
      <c r="I19" s="6">
        <v>9</v>
      </c>
      <c r="J19" s="44">
        <v>6.0000000000000009</v>
      </c>
      <c r="K19" s="6" t="s">
        <v>459</v>
      </c>
      <c r="L19" s="6">
        <v>0</v>
      </c>
      <c r="M19" s="44">
        <v>0</v>
      </c>
      <c r="N19" s="6" t="s">
        <v>454</v>
      </c>
      <c r="O19" s="6">
        <v>5</v>
      </c>
      <c r="P19" s="44">
        <v>3.33</v>
      </c>
      <c r="Q19" s="6" t="s">
        <v>460</v>
      </c>
      <c r="R19" s="6">
        <v>1</v>
      </c>
      <c r="S19" s="44">
        <v>0.67</v>
      </c>
      <c r="T19" s="6" t="s">
        <v>461</v>
      </c>
      <c r="U19" s="6">
        <v>0</v>
      </c>
      <c r="V19" s="44">
        <v>0</v>
      </c>
      <c r="W19" s="6" t="s">
        <v>456</v>
      </c>
    </row>
    <row r="20" spans="1:23" x14ac:dyDescent="0.35">
      <c r="A20" s="201" t="s">
        <v>135</v>
      </c>
      <c r="B20" s="43">
        <v>168</v>
      </c>
      <c r="C20" s="6">
        <v>36</v>
      </c>
      <c r="D20" s="44">
        <v>21.43</v>
      </c>
      <c r="E20" s="6" t="s">
        <v>462</v>
      </c>
      <c r="F20" s="6">
        <v>33</v>
      </c>
      <c r="G20" s="44">
        <v>19.64</v>
      </c>
      <c r="H20" s="6" t="s">
        <v>463</v>
      </c>
      <c r="I20" s="6">
        <v>3</v>
      </c>
      <c r="J20" s="44">
        <v>1.79</v>
      </c>
      <c r="K20" s="6" t="s">
        <v>464</v>
      </c>
      <c r="L20" s="6">
        <v>0</v>
      </c>
      <c r="M20" s="44">
        <v>0</v>
      </c>
      <c r="N20" s="6" t="s">
        <v>465</v>
      </c>
      <c r="O20" s="6">
        <v>3</v>
      </c>
      <c r="P20" s="44">
        <v>1.79</v>
      </c>
      <c r="Q20" s="6" t="s">
        <v>466</v>
      </c>
      <c r="R20" s="6">
        <v>0</v>
      </c>
      <c r="S20" s="44">
        <v>0</v>
      </c>
      <c r="T20" s="6" t="s">
        <v>467</v>
      </c>
      <c r="U20" s="6">
        <v>0</v>
      </c>
      <c r="V20" s="44">
        <v>0</v>
      </c>
      <c r="W20" s="6" t="s">
        <v>467</v>
      </c>
    </row>
    <row r="21" spans="1:23" x14ac:dyDescent="0.35">
      <c r="A21" s="201" t="s">
        <v>136</v>
      </c>
      <c r="B21" s="43">
        <v>209</v>
      </c>
      <c r="C21" s="6">
        <v>55</v>
      </c>
      <c r="D21" s="44">
        <v>26.32</v>
      </c>
      <c r="E21" s="6" t="s">
        <v>468</v>
      </c>
      <c r="F21" s="6">
        <v>50</v>
      </c>
      <c r="G21" s="44">
        <v>23.92</v>
      </c>
      <c r="H21" s="6" t="s">
        <v>469</v>
      </c>
      <c r="I21" s="6">
        <v>3</v>
      </c>
      <c r="J21" s="44">
        <v>1.4354066985645899</v>
      </c>
      <c r="K21" s="6" t="s">
        <v>470</v>
      </c>
      <c r="L21" s="6">
        <v>0</v>
      </c>
      <c r="M21" s="44">
        <v>0</v>
      </c>
      <c r="N21" s="6" t="s">
        <v>471</v>
      </c>
      <c r="O21" s="6">
        <v>1</v>
      </c>
      <c r="P21" s="44">
        <v>0.48</v>
      </c>
      <c r="Q21" s="6" t="s">
        <v>472</v>
      </c>
      <c r="R21" s="6">
        <v>4</v>
      </c>
      <c r="S21" s="44">
        <v>1.91</v>
      </c>
      <c r="T21" s="6" t="s">
        <v>473</v>
      </c>
      <c r="U21" s="6">
        <v>0</v>
      </c>
      <c r="V21" s="44">
        <v>0</v>
      </c>
      <c r="W21" s="6" t="s">
        <v>474</v>
      </c>
    </row>
    <row r="22" spans="1:23" x14ac:dyDescent="0.35">
      <c r="A22" s="201" t="s">
        <v>137</v>
      </c>
      <c r="B22" s="43">
        <v>300</v>
      </c>
      <c r="C22" s="6">
        <v>43</v>
      </c>
      <c r="D22" s="44">
        <v>14.33</v>
      </c>
      <c r="E22" s="6" t="s">
        <v>475</v>
      </c>
      <c r="F22" s="6">
        <v>23</v>
      </c>
      <c r="G22" s="44">
        <v>7.67</v>
      </c>
      <c r="H22" s="6" t="s">
        <v>476</v>
      </c>
      <c r="I22" s="6" t="s">
        <v>119</v>
      </c>
      <c r="J22" s="44" t="s">
        <v>128</v>
      </c>
      <c r="K22" s="6" t="s">
        <v>128</v>
      </c>
      <c r="L22" s="6" t="s">
        <v>119</v>
      </c>
      <c r="M22" s="44" t="s">
        <v>128</v>
      </c>
      <c r="N22" s="6" t="s">
        <v>128</v>
      </c>
      <c r="O22" s="6">
        <v>20</v>
      </c>
      <c r="P22" s="44">
        <v>6.67</v>
      </c>
      <c r="Q22" s="6" t="s">
        <v>477</v>
      </c>
      <c r="R22" s="6">
        <v>0</v>
      </c>
      <c r="S22" s="44">
        <v>0</v>
      </c>
      <c r="T22" s="6" t="s">
        <v>383</v>
      </c>
      <c r="U22" s="6">
        <v>0</v>
      </c>
      <c r="V22" s="44">
        <v>0</v>
      </c>
      <c r="W22" s="6" t="s">
        <v>383</v>
      </c>
    </row>
    <row r="23" spans="1:23" x14ac:dyDescent="0.35">
      <c r="A23" s="201" t="s">
        <v>138</v>
      </c>
      <c r="B23" s="43">
        <v>309</v>
      </c>
      <c r="C23" s="6">
        <v>145</v>
      </c>
      <c r="D23" s="44">
        <v>46.93</v>
      </c>
      <c r="E23" s="6" t="s">
        <v>478</v>
      </c>
      <c r="F23" s="6">
        <v>94</v>
      </c>
      <c r="G23" s="44">
        <v>30.42</v>
      </c>
      <c r="H23" s="6" t="s">
        <v>479</v>
      </c>
      <c r="I23" s="6">
        <v>20</v>
      </c>
      <c r="J23" s="44">
        <v>6.4724919093851145</v>
      </c>
      <c r="K23" s="6" t="s">
        <v>480</v>
      </c>
      <c r="L23" s="6">
        <v>0</v>
      </c>
      <c r="M23" s="44">
        <v>0</v>
      </c>
      <c r="N23" s="6" t="s">
        <v>444</v>
      </c>
      <c r="O23" s="6">
        <v>45</v>
      </c>
      <c r="P23" s="44">
        <v>14.56</v>
      </c>
      <c r="Q23" s="6" t="s">
        <v>481</v>
      </c>
      <c r="R23" s="6">
        <v>6</v>
      </c>
      <c r="S23" s="44">
        <v>1.94</v>
      </c>
      <c r="T23" s="6" t="s">
        <v>482</v>
      </c>
      <c r="U23" s="6">
        <v>0</v>
      </c>
      <c r="V23" s="44">
        <v>0</v>
      </c>
      <c r="W23" s="6" t="s">
        <v>383</v>
      </c>
    </row>
    <row r="24" spans="1:23" x14ac:dyDescent="0.35">
      <c r="A24" s="201" t="s">
        <v>139</v>
      </c>
      <c r="B24" s="43">
        <v>334</v>
      </c>
      <c r="C24" s="6">
        <v>228</v>
      </c>
      <c r="D24" s="44">
        <v>71.53</v>
      </c>
      <c r="E24" s="6" t="s">
        <v>483</v>
      </c>
      <c r="F24" s="6">
        <v>183</v>
      </c>
      <c r="G24" s="44">
        <v>57.41</v>
      </c>
      <c r="H24" s="6" t="s">
        <v>484</v>
      </c>
      <c r="I24" s="6">
        <v>43</v>
      </c>
      <c r="J24" s="44">
        <v>13.489976568601927</v>
      </c>
      <c r="K24" s="6" t="s">
        <v>485</v>
      </c>
      <c r="L24" s="6">
        <v>0</v>
      </c>
      <c r="M24" s="44">
        <v>0</v>
      </c>
      <c r="N24" s="6" t="s">
        <v>486</v>
      </c>
      <c r="O24" s="6">
        <v>26</v>
      </c>
      <c r="P24" s="44">
        <v>8.16</v>
      </c>
      <c r="Q24" s="6" t="s">
        <v>487</v>
      </c>
      <c r="R24" s="6">
        <v>19</v>
      </c>
      <c r="S24" s="44">
        <v>5.96</v>
      </c>
      <c r="T24" s="6" t="s">
        <v>488</v>
      </c>
      <c r="U24" s="6">
        <v>2</v>
      </c>
      <c r="V24" s="44">
        <v>0.63</v>
      </c>
      <c r="W24" s="6" t="s">
        <v>489</v>
      </c>
    </row>
    <row r="25" spans="1:23" x14ac:dyDescent="0.35">
      <c r="A25" s="201" t="s">
        <v>140</v>
      </c>
      <c r="B25" s="43">
        <v>300</v>
      </c>
      <c r="C25" s="6">
        <v>221</v>
      </c>
      <c r="D25" s="44">
        <v>73.67</v>
      </c>
      <c r="E25" s="6" t="s">
        <v>490</v>
      </c>
      <c r="F25" s="6">
        <v>152</v>
      </c>
      <c r="G25" s="44">
        <v>50.67</v>
      </c>
      <c r="H25" s="6" t="s">
        <v>491</v>
      </c>
      <c r="I25" s="6">
        <v>22</v>
      </c>
      <c r="J25" s="44">
        <v>7.333333333333333</v>
      </c>
      <c r="K25" s="6" t="s">
        <v>492</v>
      </c>
      <c r="L25" s="6">
        <v>6</v>
      </c>
      <c r="M25" s="44">
        <v>2</v>
      </c>
      <c r="N25" s="6" t="s">
        <v>493</v>
      </c>
      <c r="O25" s="6">
        <v>51</v>
      </c>
      <c r="P25" s="44">
        <v>17</v>
      </c>
      <c r="Q25" s="6" t="s">
        <v>494</v>
      </c>
      <c r="R25" s="6">
        <v>18</v>
      </c>
      <c r="S25" s="44">
        <v>6</v>
      </c>
      <c r="T25" s="6" t="s">
        <v>495</v>
      </c>
      <c r="U25" s="6">
        <v>0</v>
      </c>
      <c r="V25" s="44">
        <v>0</v>
      </c>
      <c r="W25" s="6" t="s">
        <v>383</v>
      </c>
    </row>
    <row r="26" spans="1:23" x14ac:dyDescent="0.35">
      <c r="A26" s="201" t="s">
        <v>141</v>
      </c>
      <c r="B26" s="43">
        <v>140</v>
      </c>
      <c r="C26" s="6">
        <v>86</v>
      </c>
      <c r="D26" s="44">
        <v>61.43</v>
      </c>
      <c r="E26" s="6" t="s">
        <v>496</v>
      </c>
      <c r="F26" s="6">
        <v>56</v>
      </c>
      <c r="G26" s="44">
        <v>40</v>
      </c>
      <c r="H26" s="6" t="s">
        <v>497</v>
      </c>
      <c r="I26" s="6">
        <v>37</v>
      </c>
      <c r="J26" s="44">
        <v>26.428571428571431</v>
      </c>
      <c r="K26" s="6" t="s">
        <v>498</v>
      </c>
      <c r="L26" s="6">
        <v>4</v>
      </c>
      <c r="M26" s="44">
        <v>2.8571428571428572</v>
      </c>
      <c r="N26" s="6" t="s">
        <v>499</v>
      </c>
      <c r="O26" s="6">
        <v>28</v>
      </c>
      <c r="P26" s="44">
        <v>20</v>
      </c>
      <c r="Q26" s="6" t="s">
        <v>500</v>
      </c>
      <c r="R26" s="6">
        <v>2</v>
      </c>
      <c r="S26" s="44">
        <v>1.43</v>
      </c>
      <c r="T26" s="6" t="s">
        <v>501</v>
      </c>
      <c r="U26" s="6">
        <v>0</v>
      </c>
      <c r="V26" s="44">
        <v>0</v>
      </c>
      <c r="W26" s="6" t="s">
        <v>472</v>
      </c>
    </row>
    <row r="27" spans="1:23" x14ac:dyDescent="0.35">
      <c r="A27" s="201" t="s">
        <v>142</v>
      </c>
      <c r="B27" s="43">
        <v>154</v>
      </c>
      <c r="C27" s="6">
        <v>80</v>
      </c>
      <c r="D27" s="44">
        <v>51.95</v>
      </c>
      <c r="E27" s="6" t="s">
        <v>502</v>
      </c>
      <c r="F27" s="6">
        <v>33</v>
      </c>
      <c r="G27" s="44">
        <v>21.43</v>
      </c>
      <c r="H27" s="6" t="s">
        <v>503</v>
      </c>
      <c r="I27" s="6">
        <v>18</v>
      </c>
      <c r="J27" s="44">
        <v>11.688311688311687</v>
      </c>
      <c r="K27" s="6" t="s">
        <v>504</v>
      </c>
      <c r="L27" s="6">
        <v>0</v>
      </c>
      <c r="M27" s="44">
        <v>0</v>
      </c>
      <c r="N27" s="6" t="s">
        <v>454</v>
      </c>
      <c r="O27" s="6">
        <v>47</v>
      </c>
      <c r="P27" s="44">
        <v>30.52</v>
      </c>
      <c r="Q27" s="6" t="s">
        <v>505</v>
      </c>
      <c r="R27" s="6">
        <v>0</v>
      </c>
      <c r="S27" s="44">
        <v>0</v>
      </c>
      <c r="T27" s="6" t="s">
        <v>456</v>
      </c>
      <c r="U27" s="6">
        <v>0</v>
      </c>
      <c r="V27" s="44">
        <v>0</v>
      </c>
      <c r="W27" s="6" t="s">
        <v>456</v>
      </c>
    </row>
    <row r="28" spans="1:23" x14ac:dyDescent="0.35">
      <c r="A28" s="201" t="s">
        <v>143</v>
      </c>
      <c r="B28" s="43">
        <v>413</v>
      </c>
      <c r="C28" s="6">
        <v>338</v>
      </c>
      <c r="D28" s="44">
        <v>81.84</v>
      </c>
      <c r="E28" s="6" t="s">
        <v>506</v>
      </c>
      <c r="F28" s="6">
        <v>265</v>
      </c>
      <c r="G28" s="44">
        <v>64.16</v>
      </c>
      <c r="H28" s="7" t="s">
        <v>507</v>
      </c>
      <c r="I28" s="6">
        <v>66</v>
      </c>
      <c r="J28" s="44">
        <v>15.980629539951574</v>
      </c>
      <c r="K28" s="6" t="s">
        <v>508</v>
      </c>
      <c r="L28" s="6">
        <v>0</v>
      </c>
      <c r="M28" s="44">
        <v>0</v>
      </c>
      <c r="N28" s="6" t="s">
        <v>509</v>
      </c>
      <c r="O28" s="6">
        <v>57</v>
      </c>
      <c r="P28" s="44">
        <v>13.8</v>
      </c>
      <c r="Q28" s="6" t="s">
        <v>510</v>
      </c>
      <c r="R28" s="6">
        <v>16</v>
      </c>
      <c r="S28" s="44">
        <v>3.87</v>
      </c>
      <c r="T28" s="7" t="s">
        <v>511</v>
      </c>
      <c r="U28" s="6">
        <v>1</v>
      </c>
      <c r="V28" s="44">
        <v>0.24</v>
      </c>
      <c r="W28" s="6" t="s">
        <v>399</v>
      </c>
    </row>
    <row r="29" spans="1:23" x14ac:dyDescent="0.35">
      <c r="A29" s="201" t="s">
        <v>297</v>
      </c>
      <c r="B29" s="43">
        <v>302</v>
      </c>
      <c r="C29" s="6">
        <v>10</v>
      </c>
      <c r="D29" s="44">
        <v>3.31</v>
      </c>
      <c r="E29" s="6" t="s">
        <v>512</v>
      </c>
      <c r="F29" s="6">
        <v>2</v>
      </c>
      <c r="G29" s="44">
        <v>0.66</v>
      </c>
      <c r="H29" s="6" t="s">
        <v>513</v>
      </c>
      <c r="I29" s="6" t="s">
        <v>119</v>
      </c>
      <c r="J29" s="44" t="s">
        <v>128</v>
      </c>
      <c r="K29" s="6" t="s">
        <v>128</v>
      </c>
      <c r="L29" s="6" t="s">
        <v>119</v>
      </c>
      <c r="M29" s="44" t="s">
        <v>128</v>
      </c>
      <c r="N29" s="6" t="s">
        <v>128</v>
      </c>
      <c r="O29" s="6">
        <v>8</v>
      </c>
      <c r="P29" s="44">
        <v>2.65</v>
      </c>
      <c r="Q29" s="6" t="s">
        <v>514</v>
      </c>
      <c r="R29" s="6">
        <v>0</v>
      </c>
      <c r="S29" s="44">
        <v>0</v>
      </c>
      <c r="T29" s="6" t="s">
        <v>383</v>
      </c>
      <c r="U29" s="6">
        <v>0</v>
      </c>
      <c r="V29" s="44">
        <v>0</v>
      </c>
      <c r="W29" s="6" t="s">
        <v>383</v>
      </c>
    </row>
    <row r="30" spans="1:23" ht="15" thickBot="1" x14ac:dyDescent="0.4">
      <c r="A30" s="212" t="s">
        <v>298</v>
      </c>
      <c r="B30" s="43">
        <v>294</v>
      </c>
      <c r="C30" s="6">
        <v>109</v>
      </c>
      <c r="D30" s="44">
        <v>37.07</v>
      </c>
      <c r="E30" s="6" t="s">
        <v>515</v>
      </c>
      <c r="F30" s="6">
        <v>69</v>
      </c>
      <c r="G30" s="44">
        <v>23.47</v>
      </c>
      <c r="H30" s="6" t="s">
        <v>516</v>
      </c>
      <c r="I30" s="6">
        <v>28</v>
      </c>
      <c r="J30" s="44">
        <v>9.5238095238095255</v>
      </c>
      <c r="K30" s="6" t="s">
        <v>517</v>
      </c>
      <c r="L30" s="6">
        <v>2</v>
      </c>
      <c r="M30" s="44">
        <v>0.6802721088435375</v>
      </c>
      <c r="N30" s="6" t="s">
        <v>410</v>
      </c>
      <c r="O30" s="6">
        <v>40</v>
      </c>
      <c r="P30" s="44">
        <v>13.61</v>
      </c>
      <c r="Q30" s="44" t="s">
        <v>518</v>
      </c>
      <c r="R30" s="6">
        <v>0</v>
      </c>
      <c r="S30" s="44">
        <v>0</v>
      </c>
      <c r="T30" s="6" t="s">
        <v>383</v>
      </c>
      <c r="U30" s="6">
        <v>0</v>
      </c>
      <c r="V30" s="44">
        <v>0</v>
      </c>
      <c r="W30" s="6" t="s">
        <v>383</v>
      </c>
    </row>
    <row r="31" spans="1:23" ht="15" thickBot="1" x14ac:dyDescent="0.4">
      <c r="A31" s="213" t="s">
        <v>167</v>
      </c>
      <c r="B31" s="90">
        <f>SUM(B3:B30)</f>
        <v>7572</v>
      </c>
      <c r="C31" s="90">
        <f>SUM(C3:C30)</f>
        <v>3081</v>
      </c>
      <c r="D31" s="81">
        <v>40.859086741435803</v>
      </c>
      <c r="E31" s="82" t="s">
        <v>519</v>
      </c>
      <c r="F31" s="90">
        <f>SUM(F3:F30)</f>
        <v>2320</v>
      </c>
      <c r="G31" s="81">
        <v>30.757002349166473</v>
      </c>
      <c r="H31" s="82" t="s">
        <v>520</v>
      </c>
      <c r="I31" s="90">
        <f>SUM(I3:I30)</f>
        <v>478</v>
      </c>
      <c r="J31" s="81">
        <v>9.4237514104147468</v>
      </c>
      <c r="K31" s="82" t="s">
        <v>521</v>
      </c>
      <c r="L31" s="90">
        <f>SUM(L3:L30)</f>
        <v>28</v>
      </c>
      <c r="M31" s="81">
        <v>0.55201891107031997</v>
      </c>
      <c r="N31" s="82" t="s">
        <v>306</v>
      </c>
      <c r="O31" s="90">
        <f>SUM(O3:O30)</f>
        <v>683</v>
      </c>
      <c r="P31" s="81">
        <v>9.0547554329658198</v>
      </c>
      <c r="Q31" s="81" t="s">
        <v>522</v>
      </c>
      <c r="R31" s="90">
        <f>SUM(R3:R30)</f>
        <v>80</v>
      </c>
      <c r="S31" s="81">
        <v>1.07</v>
      </c>
      <c r="T31" s="82" t="s">
        <v>523</v>
      </c>
      <c r="U31" s="90">
        <f>SUM(U3:U30)</f>
        <v>4</v>
      </c>
      <c r="V31" s="81">
        <v>0.05</v>
      </c>
      <c r="W31" s="82" t="s">
        <v>524</v>
      </c>
    </row>
    <row r="32" spans="1:23" x14ac:dyDescent="0.35">
      <c r="A32" s="201" t="s">
        <v>147</v>
      </c>
      <c r="B32" s="43">
        <v>143</v>
      </c>
      <c r="C32" s="6">
        <v>2</v>
      </c>
      <c r="D32" s="44">
        <v>1.3986013986013985</v>
      </c>
      <c r="E32" s="6" t="s">
        <v>525</v>
      </c>
      <c r="F32" s="6">
        <v>2</v>
      </c>
      <c r="G32" s="44">
        <v>1.3986013986013985</v>
      </c>
      <c r="H32" s="6" t="s">
        <v>525</v>
      </c>
      <c r="I32" s="6">
        <v>0</v>
      </c>
      <c r="J32" s="44">
        <v>0</v>
      </c>
      <c r="K32" s="6" t="s">
        <v>526</v>
      </c>
      <c r="L32" s="6">
        <v>0</v>
      </c>
      <c r="M32" s="44">
        <v>0</v>
      </c>
      <c r="N32" s="6" t="s">
        <v>526</v>
      </c>
      <c r="O32" s="6">
        <v>0</v>
      </c>
      <c r="P32" s="44">
        <v>0</v>
      </c>
      <c r="Q32" s="6" t="s">
        <v>527</v>
      </c>
      <c r="R32" s="6">
        <v>0</v>
      </c>
      <c r="S32" s="44">
        <v>0</v>
      </c>
      <c r="T32" s="6" t="s">
        <v>527</v>
      </c>
      <c r="U32" s="6">
        <v>0</v>
      </c>
      <c r="V32" s="44">
        <v>0</v>
      </c>
      <c r="W32" s="6" t="s">
        <v>527</v>
      </c>
    </row>
    <row r="33" spans="1:23" x14ac:dyDescent="0.35">
      <c r="A33" s="201" t="s">
        <v>169</v>
      </c>
      <c r="B33" s="43">
        <v>333</v>
      </c>
      <c r="C33" s="6">
        <v>65</v>
      </c>
      <c r="D33" s="44">
        <v>19.51951951951952</v>
      </c>
      <c r="E33" s="6" t="s">
        <v>528</v>
      </c>
      <c r="F33" s="6">
        <v>6</v>
      </c>
      <c r="G33" s="44">
        <v>1.8018018018018018</v>
      </c>
      <c r="H33" s="6" t="s">
        <v>529</v>
      </c>
      <c r="I33" s="6" t="s">
        <v>119</v>
      </c>
      <c r="J33" s="6" t="s">
        <v>128</v>
      </c>
      <c r="K33" s="6" t="s">
        <v>128</v>
      </c>
      <c r="L33" s="6" t="s">
        <v>119</v>
      </c>
      <c r="M33" s="44" t="s">
        <v>128</v>
      </c>
      <c r="N33" s="6" t="s">
        <v>128</v>
      </c>
      <c r="O33" s="6">
        <v>59</v>
      </c>
      <c r="P33" s="44">
        <v>17.717717717717719</v>
      </c>
      <c r="Q33" s="6" t="s">
        <v>530</v>
      </c>
      <c r="R33" s="6">
        <v>0</v>
      </c>
      <c r="S33" s="44">
        <v>0</v>
      </c>
      <c r="T33" s="6" t="s">
        <v>427</v>
      </c>
      <c r="U33" s="6">
        <v>0</v>
      </c>
      <c r="V33" s="44">
        <v>0</v>
      </c>
      <c r="W33" s="6" t="s">
        <v>427</v>
      </c>
    </row>
    <row r="34" spans="1:23" ht="15" thickBot="1" x14ac:dyDescent="0.4">
      <c r="A34" s="212" t="s">
        <v>150</v>
      </c>
      <c r="B34" s="43">
        <v>308</v>
      </c>
      <c r="C34" s="6">
        <v>19</v>
      </c>
      <c r="D34" s="44">
        <v>6.1688311688311686</v>
      </c>
      <c r="E34" s="44" t="s">
        <v>531</v>
      </c>
      <c r="F34" s="6">
        <v>12</v>
      </c>
      <c r="G34" s="44">
        <v>3.8961038961038961</v>
      </c>
      <c r="H34" s="44" t="s">
        <v>532</v>
      </c>
      <c r="I34" s="6">
        <v>1</v>
      </c>
      <c r="J34" s="44">
        <v>0.32467532467532467</v>
      </c>
      <c r="K34" s="6" t="s">
        <v>471</v>
      </c>
      <c r="L34" s="6">
        <v>0</v>
      </c>
      <c r="M34" s="44">
        <v>0</v>
      </c>
      <c r="N34" s="6" t="s">
        <v>444</v>
      </c>
      <c r="O34" s="6">
        <v>6</v>
      </c>
      <c r="P34" s="44">
        <v>1.948051948051948</v>
      </c>
      <c r="Q34" s="44" t="s">
        <v>482</v>
      </c>
      <c r="R34" s="6">
        <v>1</v>
      </c>
      <c r="S34" s="44">
        <v>0.32467532467532467</v>
      </c>
      <c r="T34" s="44" t="s">
        <v>450</v>
      </c>
      <c r="U34" s="6">
        <v>0</v>
      </c>
      <c r="V34" s="44">
        <v>0</v>
      </c>
      <c r="W34" s="44" t="s">
        <v>444</v>
      </c>
    </row>
    <row r="35" spans="1:23" ht="15" thickBot="1" x14ac:dyDescent="0.4">
      <c r="A35" s="200" t="s">
        <v>315</v>
      </c>
      <c r="B35" s="90">
        <f>SUM(B32:B34)</f>
        <v>784</v>
      </c>
      <c r="C35" s="90">
        <f>SUM(C32:C34)</f>
        <v>86</v>
      </c>
      <c r="D35" s="81">
        <v>11</v>
      </c>
      <c r="E35" s="186" t="s">
        <v>533</v>
      </c>
      <c r="F35" s="90">
        <f>SUM(F32:F34)</f>
        <v>20</v>
      </c>
      <c r="G35" s="81">
        <v>2.6</v>
      </c>
      <c r="H35" s="186" t="s">
        <v>534</v>
      </c>
      <c r="I35" s="90">
        <f>SUM(I32:I34)</f>
        <v>1</v>
      </c>
      <c r="J35" s="82">
        <v>0.2</v>
      </c>
      <c r="K35" s="186" t="s">
        <v>444</v>
      </c>
      <c r="L35" s="90">
        <f>SUM(L32:L34)</f>
        <v>0</v>
      </c>
      <c r="M35" s="81">
        <v>0</v>
      </c>
      <c r="N35" s="186" t="s">
        <v>535</v>
      </c>
      <c r="O35" s="90">
        <f>SUM(O32:O34)</f>
        <v>65</v>
      </c>
      <c r="P35" s="81">
        <v>8.3000000000000007</v>
      </c>
      <c r="Q35" s="186" t="s">
        <v>536</v>
      </c>
      <c r="R35" s="90">
        <f>SUM(R32:R34)</f>
        <v>1</v>
      </c>
      <c r="S35" s="81">
        <v>0.1</v>
      </c>
      <c r="T35" s="186" t="s">
        <v>537</v>
      </c>
      <c r="U35" s="90">
        <f>SUM(U32:U34)</f>
        <v>0</v>
      </c>
      <c r="V35" s="81">
        <v>0</v>
      </c>
      <c r="W35" s="186" t="s">
        <v>538</v>
      </c>
    </row>
    <row r="36" spans="1:23" ht="15" thickBot="1" x14ac:dyDescent="0.4">
      <c r="A36" s="200" t="s">
        <v>320</v>
      </c>
      <c r="B36" s="93">
        <f>SUM(B31,B35)</f>
        <v>8356</v>
      </c>
      <c r="C36" s="93">
        <f>SUM(C31,C35)</f>
        <v>3167</v>
      </c>
      <c r="D36" s="85">
        <v>38.1</v>
      </c>
      <c r="E36" s="96" t="s">
        <v>539</v>
      </c>
      <c r="F36" s="93">
        <f>SUM(F31,F35)</f>
        <v>2340</v>
      </c>
      <c r="G36" s="85">
        <v>28.1</v>
      </c>
      <c r="H36" s="96" t="s">
        <v>540</v>
      </c>
      <c r="I36" s="93">
        <f>SUM(I31,I35)</f>
        <v>479</v>
      </c>
      <c r="J36" s="85">
        <v>8.6999999999999993</v>
      </c>
      <c r="K36" s="96" t="s">
        <v>541</v>
      </c>
      <c r="L36" s="93">
        <f>SUM(L31,L35)</f>
        <v>28</v>
      </c>
      <c r="M36" s="85">
        <v>0.5</v>
      </c>
      <c r="N36" s="96" t="s">
        <v>542</v>
      </c>
      <c r="O36" s="93">
        <f>SUM(O31,O35)</f>
        <v>748</v>
      </c>
      <c r="P36" s="94">
        <v>9</v>
      </c>
      <c r="Q36" s="96" t="s">
        <v>543</v>
      </c>
      <c r="R36" s="93">
        <f>SUM(R31,R35)</f>
        <v>81</v>
      </c>
      <c r="S36" s="94">
        <v>1</v>
      </c>
      <c r="T36" s="96" t="s">
        <v>325</v>
      </c>
      <c r="U36" s="93">
        <f>SUM(U31,U35)</f>
        <v>4</v>
      </c>
      <c r="V36" s="94">
        <v>0</v>
      </c>
      <c r="W36" s="96" t="s">
        <v>544</v>
      </c>
    </row>
    <row r="38" spans="1:23" x14ac:dyDescent="0.35">
      <c r="B38" s="175"/>
      <c r="C38" s="245" t="s">
        <v>326</v>
      </c>
      <c r="D38" s="246"/>
      <c r="E38" s="246"/>
      <c r="F38" s="246"/>
      <c r="G38" s="246"/>
      <c r="H38" s="246"/>
      <c r="I38" s="246"/>
      <c r="J38" s="248"/>
      <c r="K38" s="60"/>
      <c r="W38"/>
    </row>
    <row r="39" spans="1:23" x14ac:dyDescent="0.35">
      <c r="B39" s="165" t="s">
        <v>153</v>
      </c>
      <c r="C39" s="249" t="s">
        <v>154</v>
      </c>
      <c r="D39" s="250"/>
      <c r="E39" s="250"/>
      <c r="F39" s="250"/>
      <c r="G39" s="250"/>
      <c r="H39" s="250"/>
      <c r="I39" s="250"/>
      <c r="J39" s="252"/>
      <c r="K39" s="60"/>
      <c r="W39"/>
    </row>
  </sheetData>
  <mergeCells count="11">
    <mergeCell ref="U1:W1"/>
    <mergeCell ref="C38:J38"/>
    <mergeCell ref="C39:J39"/>
    <mergeCell ref="L1:N1"/>
    <mergeCell ref="O1:Q1"/>
    <mergeCell ref="R1:T1"/>
    <mergeCell ref="A1:A2"/>
    <mergeCell ref="B1:B2"/>
    <mergeCell ref="C1:E1"/>
    <mergeCell ref="F1:H1"/>
    <mergeCell ref="I1:K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16">
    <tabColor theme="7" tint="0.79998168889431442"/>
  </sheetPr>
  <dimension ref="A1:W21"/>
  <sheetViews>
    <sheetView zoomScale="80" zoomScaleNormal="80" workbookViewId="0">
      <pane ySplit="2" topLeftCell="A3" activePane="bottomLeft" state="frozen"/>
      <selection pane="bottomLeft" activeCell="F40" sqref="F40"/>
    </sheetView>
  </sheetViews>
  <sheetFormatPr defaultColWidth="10.6328125" defaultRowHeight="14.5" x14ac:dyDescent="0.35"/>
  <cols>
    <col min="1" max="1" width="32.54296875" style="60" customWidth="1"/>
    <col min="3" max="3" width="10.36328125" style="182" customWidth="1"/>
    <col min="4" max="5" width="10.36328125" customWidth="1"/>
    <col min="6" max="6" width="10.36328125" style="182" customWidth="1"/>
    <col min="7" max="8" width="10.36328125" customWidth="1"/>
    <col min="9" max="9" width="10.36328125" style="182" customWidth="1"/>
    <col min="10" max="11" width="10.36328125" customWidth="1"/>
    <col min="12" max="12" width="10.36328125" style="182" customWidth="1"/>
    <col min="13" max="14" width="10.36328125" customWidth="1"/>
    <col min="15" max="15" width="10.36328125" style="182" customWidth="1"/>
    <col min="16" max="17" width="10.36328125" customWidth="1"/>
    <col min="18" max="18" width="10.36328125" style="182" customWidth="1"/>
    <col min="19" max="20" width="10.36328125" customWidth="1"/>
    <col min="21" max="21" width="10.36328125" style="182" customWidth="1"/>
    <col min="22" max="23" width="10.36328125" customWidth="1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181" t="s">
        <v>83</v>
      </c>
      <c r="J2" s="94" t="s">
        <v>175</v>
      </c>
      <c r="K2" s="85" t="s">
        <v>176</v>
      </c>
      <c r="L2" s="181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01" t="s">
        <v>177</v>
      </c>
      <c r="B3" s="43">
        <v>276</v>
      </c>
      <c r="C3" s="191">
        <v>77</v>
      </c>
      <c r="D3" s="44">
        <v>27.9</v>
      </c>
      <c r="E3" s="6" t="s">
        <v>545</v>
      </c>
      <c r="F3" s="191">
        <v>66</v>
      </c>
      <c r="G3" s="44">
        <v>23.91</v>
      </c>
      <c r="H3" s="6" t="s">
        <v>546</v>
      </c>
      <c r="I3" s="191" t="s">
        <v>119</v>
      </c>
      <c r="J3" s="6" t="s">
        <v>128</v>
      </c>
      <c r="K3" s="6" t="s">
        <v>128</v>
      </c>
      <c r="L3" s="191" t="s">
        <v>119</v>
      </c>
      <c r="M3" s="6" t="s">
        <v>128</v>
      </c>
      <c r="N3" s="6" t="s">
        <v>128</v>
      </c>
      <c r="O3" s="191">
        <v>11</v>
      </c>
      <c r="P3" s="44">
        <v>3.99</v>
      </c>
      <c r="Q3" s="6" t="s">
        <v>547</v>
      </c>
      <c r="R3" s="191">
        <v>0</v>
      </c>
      <c r="S3" s="44">
        <v>0</v>
      </c>
      <c r="T3" s="6" t="s">
        <v>399</v>
      </c>
      <c r="U3" s="191">
        <v>0</v>
      </c>
      <c r="V3" s="44">
        <v>0</v>
      </c>
      <c r="W3" s="6" t="s">
        <v>397</v>
      </c>
    </row>
    <row r="4" spans="1:23" x14ac:dyDescent="0.35">
      <c r="A4" s="201" t="s">
        <v>183</v>
      </c>
      <c r="B4" s="43">
        <v>312</v>
      </c>
      <c r="C4" s="191">
        <v>194</v>
      </c>
      <c r="D4" s="44">
        <v>65.319999999999993</v>
      </c>
      <c r="E4" s="6" t="s">
        <v>548</v>
      </c>
      <c r="F4" s="191">
        <v>179</v>
      </c>
      <c r="G4" s="44">
        <v>60.27</v>
      </c>
      <c r="H4" s="6" t="s">
        <v>549</v>
      </c>
      <c r="I4" s="191" t="s">
        <v>119</v>
      </c>
      <c r="J4" s="6" t="s">
        <v>128</v>
      </c>
      <c r="K4" s="6" t="s">
        <v>128</v>
      </c>
      <c r="L4" s="191" t="s">
        <v>119</v>
      </c>
      <c r="M4" s="6" t="s">
        <v>128</v>
      </c>
      <c r="N4" s="6" t="s">
        <v>128</v>
      </c>
      <c r="O4" s="191">
        <v>15</v>
      </c>
      <c r="P4" s="44">
        <v>5.05</v>
      </c>
      <c r="Q4" s="6" t="s">
        <v>550</v>
      </c>
      <c r="R4" s="191">
        <v>0</v>
      </c>
      <c r="S4" s="44">
        <v>0</v>
      </c>
      <c r="T4" s="6" t="s">
        <v>383</v>
      </c>
      <c r="U4" s="191">
        <v>0</v>
      </c>
      <c r="V4" s="44">
        <v>0</v>
      </c>
      <c r="W4" s="6" t="s">
        <v>383</v>
      </c>
    </row>
    <row r="5" spans="1:23" x14ac:dyDescent="0.35">
      <c r="A5" s="201" t="s">
        <v>120</v>
      </c>
      <c r="B5" s="43">
        <v>297</v>
      </c>
      <c r="C5" s="191">
        <v>84</v>
      </c>
      <c r="D5" s="44">
        <v>28.28</v>
      </c>
      <c r="E5" s="6" t="s">
        <v>551</v>
      </c>
      <c r="F5" s="191">
        <v>74</v>
      </c>
      <c r="G5" s="44">
        <v>24.92</v>
      </c>
      <c r="H5" s="6" t="s">
        <v>552</v>
      </c>
      <c r="I5" s="191">
        <v>5</v>
      </c>
      <c r="J5" s="44">
        <v>1.6835016835016834</v>
      </c>
      <c r="K5" s="6" t="s">
        <v>553</v>
      </c>
      <c r="L5" s="191">
        <v>0</v>
      </c>
      <c r="M5" s="44">
        <v>0</v>
      </c>
      <c r="N5" s="6" t="s">
        <v>444</v>
      </c>
      <c r="O5" s="191">
        <v>9</v>
      </c>
      <c r="P5" s="44">
        <v>3.03</v>
      </c>
      <c r="Q5" s="6" t="s">
        <v>554</v>
      </c>
      <c r="R5" s="191">
        <v>1</v>
      </c>
      <c r="S5" s="44">
        <v>0.33670033670033667</v>
      </c>
      <c r="T5" s="6" t="s">
        <v>382</v>
      </c>
      <c r="U5" s="191">
        <v>0</v>
      </c>
      <c r="V5" s="44">
        <v>0</v>
      </c>
      <c r="W5" s="6" t="s">
        <v>383</v>
      </c>
    </row>
    <row r="6" spans="1:23" x14ac:dyDescent="0.35">
      <c r="A6" s="201" t="s">
        <v>123</v>
      </c>
      <c r="B6" s="43">
        <v>309</v>
      </c>
      <c r="C6" s="191">
        <v>13</v>
      </c>
      <c r="D6" s="44">
        <v>4.21</v>
      </c>
      <c r="E6" s="6" t="s">
        <v>555</v>
      </c>
      <c r="F6" s="191">
        <v>2</v>
      </c>
      <c r="G6" s="44">
        <v>0.65</v>
      </c>
      <c r="H6" s="6" t="s">
        <v>556</v>
      </c>
      <c r="I6" s="191">
        <v>0</v>
      </c>
      <c r="J6" s="44">
        <v>0</v>
      </c>
      <c r="K6" s="6" t="s">
        <v>444</v>
      </c>
      <c r="L6" s="191">
        <v>0</v>
      </c>
      <c r="M6" s="44">
        <v>0</v>
      </c>
      <c r="N6" s="6" t="s">
        <v>444</v>
      </c>
      <c r="O6" s="191">
        <v>11</v>
      </c>
      <c r="P6" s="44">
        <v>3.56</v>
      </c>
      <c r="Q6" s="6" t="s">
        <v>557</v>
      </c>
      <c r="R6" s="191">
        <v>0</v>
      </c>
      <c r="S6" s="44">
        <v>0</v>
      </c>
      <c r="T6" s="6" t="s">
        <v>383</v>
      </c>
      <c r="U6" s="191">
        <v>0</v>
      </c>
      <c r="V6" s="44">
        <v>0</v>
      </c>
      <c r="W6" s="6" t="s">
        <v>383</v>
      </c>
    </row>
    <row r="7" spans="1:23" x14ac:dyDescent="0.35">
      <c r="A7" s="201" t="s">
        <v>126</v>
      </c>
      <c r="B7" s="43">
        <v>280</v>
      </c>
      <c r="C7" s="191">
        <v>41</v>
      </c>
      <c r="D7" s="44">
        <v>14.64</v>
      </c>
      <c r="E7" s="6" t="s">
        <v>558</v>
      </c>
      <c r="F7" s="191">
        <v>23</v>
      </c>
      <c r="G7" s="44">
        <v>8.2100000000000009</v>
      </c>
      <c r="H7" s="6" t="s">
        <v>559</v>
      </c>
      <c r="I7" s="191">
        <v>3</v>
      </c>
      <c r="J7" s="44">
        <v>1.0714285714285712</v>
      </c>
      <c r="K7" s="6" t="s">
        <v>560</v>
      </c>
      <c r="L7" s="191">
        <v>0</v>
      </c>
      <c r="M7" s="44">
        <v>0</v>
      </c>
      <c r="N7" s="6" t="s">
        <v>397</v>
      </c>
      <c r="O7" s="191">
        <v>18</v>
      </c>
      <c r="P7" s="44">
        <v>6.43</v>
      </c>
      <c r="Q7" s="6" t="s">
        <v>561</v>
      </c>
      <c r="R7" s="191">
        <v>0</v>
      </c>
      <c r="S7" s="44">
        <v>0</v>
      </c>
      <c r="T7" s="6" t="s">
        <v>399</v>
      </c>
      <c r="U7" s="191">
        <v>0</v>
      </c>
      <c r="V7" s="44">
        <v>0</v>
      </c>
      <c r="W7" s="6" t="s">
        <v>399</v>
      </c>
    </row>
    <row r="8" spans="1:23" x14ac:dyDescent="0.35">
      <c r="A8" s="201" t="s">
        <v>127</v>
      </c>
      <c r="B8" s="43">
        <v>342</v>
      </c>
      <c r="C8" s="191">
        <v>222</v>
      </c>
      <c r="D8" s="44">
        <v>65.489999999999995</v>
      </c>
      <c r="E8" s="6" t="s">
        <v>562</v>
      </c>
      <c r="F8" s="191">
        <v>219</v>
      </c>
      <c r="G8" s="44">
        <v>64.61</v>
      </c>
      <c r="H8" s="6" t="s">
        <v>563</v>
      </c>
      <c r="I8" s="191" t="s">
        <v>119</v>
      </c>
      <c r="J8" s="44" t="s">
        <v>128</v>
      </c>
      <c r="K8" s="6" t="s">
        <v>128</v>
      </c>
      <c r="L8" s="191" t="s">
        <v>119</v>
      </c>
      <c r="M8" s="44" t="s">
        <v>128</v>
      </c>
      <c r="N8" s="6" t="s">
        <v>128</v>
      </c>
      <c r="O8" s="191">
        <v>3</v>
      </c>
      <c r="P8" s="44">
        <v>0.89</v>
      </c>
      <c r="Q8" s="6" t="s">
        <v>564</v>
      </c>
      <c r="R8" s="191">
        <v>0</v>
      </c>
      <c r="S8" s="44">
        <v>0</v>
      </c>
      <c r="T8" s="6" t="s">
        <v>427</v>
      </c>
      <c r="U8" s="191">
        <v>1</v>
      </c>
      <c r="V8" s="44">
        <v>0.3</v>
      </c>
      <c r="W8" s="6" t="s">
        <v>565</v>
      </c>
    </row>
    <row r="9" spans="1:23" x14ac:dyDescent="0.35">
      <c r="A9" s="201" t="s">
        <v>157</v>
      </c>
      <c r="B9" s="43">
        <v>301</v>
      </c>
      <c r="C9" s="191">
        <v>267</v>
      </c>
      <c r="D9" s="44">
        <v>88.7</v>
      </c>
      <c r="E9" s="6" t="s">
        <v>566</v>
      </c>
      <c r="F9" s="191">
        <v>255</v>
      </c>
      <c r="G9" s="44">
        <v>84.72</v>
      </c>
      <c r="H9" s="6" t="s">
        <v>567</v>
      </c>
      <c r="I9" s="191" t="s">
        <v>119</v>
      </c>
      <c r="J9" s="44" t="s">
        <v>128</v>
      </c>
      <c r="K9" s="6" t="s">
        <v>128</v>
      </c>
      <c r="L9" s="191" t="s">
        <v>119</v>
      </c>
      <c r="M9" s="44" t="s">
        <v>128</v>
      </c>
      <c r="N9" s="6" t="s">
        <v>128</v>
      </c>
      <c r="O9" s="191">
        <v>12</v>
      </c>
      <c r="P9" s="44">
        <v>3.99</v>
      </c>
      <c r="Q9" s="6" t="s">
        <v>568</v>
      </c>
      <c r="R9" s="191">
        <v>0</v>
      </c>
      <c r="S9" s="44">
        <v>0</v>
      </c>
      <c r="T9" s="6" t="s">
        <v>383</v>
      </c>
      <c r="U9" s="191">
        <v>1</v>
      </c>
      <c r="V9" s="44">
        <v>0.33</v>
      </c>
      <c r="W9" s="6" t="s">
        <v>450</v>
      </c>
    </row>
    <row r="10" spans="1:23" x14ac:dyDescent="0.35">
      <c r="A10" s="201" t="s">
        <v>137</v>
      </c>
      <c r="B10" s="43">
        <v>307</v>
      </c>
      <c r="C10" s="191">
        <v>98</v>
      </c>
      <c r="D10" s="44">
        <v>31.92</v>
      </c>
      <c r="E10" s="6" t="s">
        <v>569</v>
      </c>
      <c r="F10" s="191">
        <v>92</v>
      </c>
      <c r="G10" s="44">
        <v>29.97</v>
      </c>
      <c r="H10" s="6" t="s">
        <v>570</v>
      </c>
      <c r="I10" s="191" t="s">
        <v>119</v>
      </c>
      <c r="J10" s="44" t="s">
        <v>128</v>
      </c>
      <c r="K10" s="6" t="s">
        <v>128</v>
      </c>
      <c r="L10" s="191" t="s">
        <v>119</v>
      </c>
      <c r="M10" s="44" t="s">
        <v>128</v>
      </c>
      <c r="N10" s="6" t="s">
        <v>128</v>
      </c>
      <c r="O10" s="191">
        <v>6</v>
      </c>
      <c r="P10" s="44">
        <v>1.95</v>
      </c>
      <c r="Q10" s="6" t="s">
        <v>482</v>
      </c>
      <c r="R10" s="191">
        <v>0</v>
      </c>
      <c r="S10" s="44">
        <v>0</v>
      </c>
      <c r="T10" s="6" t="s">
        <v>383</v>
      </c>
      <c r="U10" s="191">
        <v>0</v>
      </c>
      <c r="V10" s="44">
        <v>0</v>
      </c>
      <c r="W10" s="6" t="s">
        <v>383</v>
      </c>
    </row>
    <row r="11" spans="1:23" x14ac:dyDescent="0.35">
      <c r="A11" s="201" t="s">
        <v>139</v>
      </c>
      <c r="B11" s="43">
        <v>325</v>
      </c>
      <c r="C11" s="191">
        <v>172</v>
      </c>
      <c r="D11" s="44">
        <v>54.15</v>
      </c>
      <c r="E11" s="6" t="s">
        <v>571</v>
      </c>
      <c r="F11" s="191">
        <v>154</v>
      </c>
      <c r="G11" s="44">
        <v>48.48</v>
      </c>
      <c r="H11" s="6" t="s">
        <v>572</v>
      </c>
      <c r="I11" s="191">
        <v>20</v>
      </c>
      <c r="J11" s="44">
        <v>6.2961316140506884</v>
      </c>
      <c r="K11" s="6" t="s">
        <v>573</v>
      </c>
      <c r="L11" s="191">
        <v>0</v>
      </c>
      <c r="M11" s="44">
        <v>0</v>
      </c>
      <c r="N11" s="6" t="s">
        <v>486</v>
      </c>
      <c r="O11" s="191">
        <v>10</v>
      </c>
      <c r="P11" s="44">
        <v>3.15</v>
      </c>
      <c r="Q11" s="6" t="s">
        <v>574</v>
      </c>
      <c r="R11" s="191">
        <v>8</v>
      </c>
      <c r="S11" s="44">
        <v>2.52</v>
      </c>
      <c r="T11" s="6" t="s">
        <v>575</v>
      </c>
      <c r="U11" s="191">
        <v>1</v>
      </c>
      <c r="V11" s="44">
        <v>0.31</v>
      </c>
      <c r="W11" s="6" t="s">
        <v>474</v>
      </c>
    </row>
    <row r="12" spans="1:23" x14ac:dyDescent="0.35">
      <c r="A12" s="201" t="s">
        <v>140</v>
      </c>
      <c r="B12" s="43">
        <v>284</v>
      </c>
      <c r="C12" s="191">
        <v>68</v>
      </c>
      <c r="D12" s="44">
        <v>23.94</v>
      </c>
      <c r="E12" s="6" t="s">
        <v>576</v>
      </c>
      <c r="F12" s="191">
        <v>60</v>
      </c>
      <c r="G12" s="44">
        <v>21.13</v>
      </c>
      <c r="H12" s="6" t="s">
        <v>577</v>
      </c>
      <c r="I12" s="191">
        <v>11</v>
      </c>
      <c r="J12" s="44">
        <v>3.873239436619718</v>
      </c>
      <c r="K12" s="6" t="s">
        <v>578</v>
      </c>
      <c r="L12" s="191">
        <v>2</v>
      </c>
      <c r="M12" s="44">
        <v>0.70422535211267601</v>
      </c>
      <c r="N12" s="6" t="s">
        <v>579</v>
      </c>
      <c r="O12" s="191">
        <v>4</v>
      </c>
      <c r="P12" s="44">
        <v>1.41</v>
      </c>
      <c r="Q12" s="6" t="s">
        <v>580</v>
      </c>
      <c r="R12" s="191">
        <v>4</v>
      </c>
      <c r="S12" s="44">
        <v>1.41</v>
      </c>
      <c r="T12" s="6" t="s">
        <v>580</v>
      </c>
      <c r="U12" s="191">
        <v>0</v>
      </c>
      <c r="V12" s="44">
        <v>0</v>
      </c>
      <c r="W12" s="6" t="s">
        <v>399</v>
      </c>
    </row>
    <row r="13" spans="1:23" x14ac:dyDescent="0.35">
      <c r="A13" s="201" t="s">
        <v>143</v>
      </c>
      <c r="B13" s="43">
        <v>394</v>
      </c>
      <c r="C13" s="191">
        <v>173</v>
      </c>
      <c r="D13" s="44">
        <v>43.91</v>
      </c>
      <c r="E13" s="6" t="s">
        <v>581</v>
      </c>
      <c r="F13" s="191">
        <v>136</v>
      </c>
      <c r="G13" s="44">
        <v>34.520000000000003</v>
      </c>
      <c r="H13" s="6" t="s">
        <v>582</v>
      </c>
      <c r="I13" s="191">
        <v>76</v>
      </c>
      <c r="J13" s="44">
        <v>19.289340101522843</v>
      </c>
      <c r="K13" s="6" t="s">
        <v>583</v>
      </c>
      <c r="L13" s="191">
        <v>1</v>
      </c>
      <c r="M13" s="44">
        <v>0.25380710659898476</v>
      </c>
      <c r="N13" s="6" t="s">
        <v>584</v>
      </c>
      <c r="O13" s="191">
        <v>25</v>
      </c>
      <c r="P13" s="44">
        <v>6.35</v>
      </c>
      <c r="Q13" s="6" t="s">
        <v>585</v>
      </c>
      <c r="R13" s="191">
        <v>12</v>
      </c>
      <c r="S13" s="44">
        <v>3.05</v>
      </c>
      <c r="T13" s="6" t="s">
        <v>586</v>
      </c>
      <c r="U13" s="191">
        <v>0</v>
      </c>
      <c r="V13" s="44">
        <v>0</v>
      </c>
      <c r="W13" s="6" t="s">
        <v>587</v>
      </c>
    </row>
    <row r="14" spans="1:23" ht="15" thickBot="1" x14ac:dyDescent="0.4">
      <c r="A14" s="202" t="s">
        <v>144</v>
      </c>
      <c r="B14" s="141">
        <v>14</v>
      </c>
      <c r="C14" s="192">
        <v>0</v>
      </c>
      <c r="D14" s="142">
        <v>0</v>
      </c>
      <c r="E14" s="142" t="s">
        <v>588</v>
      </c>
      <c r="F14" s="192">
        <v>0</v>
      </c>
      <c r="G14" s="142">
        <v>0</v>
      </c>
      <c r="H14" s="142" t="s">
        <v>588</v>
      </c>
      <c r="I14" s="192">
        <v>0</v>
      </c>
      <c r="J14" s="142">
        <v>0</v>
      </c>
      <c r="K14" s="142" t="s">
        <v>589</v>
      </c>
      <c r="L14" s="192">
        <v>0</v>
      </c>
      <c r="M14" s="142">
        <v>0</v>
      </c>
      <c r="N14" s="142" t="s">
        <v>589</v>
      </c>
      <c r="O14" s="192">
        <v>0</v>
      </c>
      <c r="P14" s="142">
        <v>0</v>
      </c>
      <c r="Q14" s="142" t="s">
        <v>588</v>
      </c>
      <c r="R14" s="192">
        <v>0</v>
      </c>
      <c r="S14" s="142">
        <v>0</v>
      </c>
      <c r="T14" s="142" t="s">
        <v>588</v>
      </c>
      <c r="U14" s="192">
        <v>0</v>
      </c>
      <c r="V14" s="142">
        <v>0</v>
      </c>
      <c r="W14" s="142" t="s">
        <v>588</v>
      </c>
    </row>
    <row r="15" spans="1:23" ht="15" thickBot="1" x14ac:dyDescent="0.4">
      <c r="A15" s="214" t="s">
        <v>158</v>
      </c>
      <c r="B15" s="90">
        <f>SUM(B3:B14)</f>
        <v>3441</v>
      </c>
      <c r="C15" s="90">
        <f>SUM(C3:C14)</f>
        <v>1409</v>
      </c>
      <c r="D15" s="81">
        <v>41.41</v>
      </c>
      <c r="E15" s="81" t="s">
        <v>590</v>
      </c>
      <c r="F15" s="90">
        <f>SUM(F3:F14)</f>
        <v>1260</v>
      </c>
      <c r="G15" s="81">
        <v>37.03</v>
      </c>
      <c r="H15" s="81" t="s">
        <v>591</v>
      </c>
      <c r="I15" s="183">
        <f>SUM(I3:I14)</f>
        <v>115</v>
      </c>
      <c r="J15" s="81">
        <v>6.0865653247239306</v>
      </c>
      <c r="K15" s="81" t="s">
        <v>592</v>
      </c>
      <c r="L15" s="183">
        <f>SUM(L3:L14)</f>
        <v>3</v>
      </c>
      <c r="M15" s="81">
        <v>0.1587799649927982</v>
      </c>
      <c r="N15" s="81" t="s">
        <v>538</v>
      </c>
      <c r="O15" s="90">
        <f>SUM(O3:O14)</f>
        <v>124</v>
      </c>
      <c r="P15" s="81">
        <v>3.64</v>
      </c>
      <c r="Q15" s="81" t="s">
        <v>593</v>
      </c>
      <c r="R15" s="90">
        <f>SUM(R3:R14)</f>
        <v>25</v>
      </c>
      <c r="S15" s="81">
        <v>0.73416463359537365</v>
      </c>
      <c r="T15" s="81" t="s">
        <v>594</v>
      </c>
      <c r="U15" s="90">
        <f>SUM(U3:U14)</f>
        <v>3</v>
      </c>
      <c r="V15" s="81">
        <v>0.09</v>
      </c>
      <c r="W15" s="81" t="s">
        <v>595</v>
      </c>
    </row>
    <row r="16" spans="1:23" ht="15" thickBot="1" x14ac:dyDescent="0.4">
      <c r="A16" s="215" t="s">
        <v>150</v>
      </c>
      <c r="B16" s="103">
        <v>306</v>
      </c>
      <c r="C16" s="191">
        <v>97</v>
      </c>
      <c r="D16" s="104">
        <v>31.7</v>
      </c>
      <c r="E16" s="104" t="s">
        <v>596</v>
      </c>
      <c r="F16" s="180">
        <v>49</v>
      </c>
      <c r="G16" s="104">
        <v>16.010000000000002</v>
      </c>
      <c r="H16" s="104" t="s">
        <v>597</v>
      </c>
      <c r="I16" s="204">
        <v>6</v>
      </c>
      <c r="J16" s="104">
        <v>1.9</v>
      </c>
      <c r="K16" s="104" t="s">
        <v>598</v>
      </c>
      <c r="L16" s="204">
        <v>0</v>
      </c>
      <c r="M16" s="104">
        <v>0</v>
      </c>
      <c r="N16" s="104" t="s">
        <v>444</v>
      </c>
      <c r="O16" s="180">
        <v>42</v>
      </c>
      <c r="P16" s="104">
        <v>13.73</v>
      </c>
      <c r="Q16" s="104" t="s">
        <v>599</v>
      </c>
      <c r="R16" s="180">
        <v>6</v>
      </c>
      <c r="S16" s="104">
        <v>1.96</v>
      </c>
      <c r="T16" s="104" t="s">
        <v>482</v>
      </c>
      <c r="U16" s="180">
        <v>0</v>
      </c>
      <c r="V16" s="104">
        <v>0</v>
      </c>
      <c r="W16" s="104" t="s">
        <v>383</v>
      </c>
    </row>
    <row r="17" spans="1:23" ht="15" thickBot="1" x14ac:dyDescent="0.4">
      <c r="A17" s="203" t="s">
        <v>600</v>
      </c>
      <c r="B17" s="90">
        <f>SUM(B16)</f>
        <v>306</v>
      </c>
      <c r="C17" s="90">
        <f>SUM(C16)</f>
        <v>97</v>
      </c>
      <c r="D17" s="81">
        <v>31.7</v>
      </c>
      <c r="E17" s="81" t="s">
        <v>596</v>
      </c>
      <c r="F17" s="90">
        <f>SUM(F16)</f>
        <v>49</v>
      </c>
      <c r="G17" s="81">
        <v>16.010000000000002</v>
      </c>
      <c r="H17" s="81" t="s">
        <v>597</v>
      </c>
      <c r="I17" s="183">
        <f>SUM(I16)</f>
        <v>6</v>
      </c>
      <c r="J17" s="81">
        <v>1.9607843137254901</v>
      </c>
      <c r="K17" s="81" t="s">
        <v>598</v>
      </c>
      <c r="L17" s="183">
        <f>SUM(L16)</f>
        <v>0</v>
      </c>
      <c r="M17" s="81">
        <v>0</v>
      </c>
      <c r="N17" s="81" t="s">
        <v>444</v>
      </c>
      <c r="O17" s="90">
        <f>SUM(O16)</f>
        <v>42</v>
      </c>
      <c r="P17" s="81">
        <v>13.73</v>
      </c>
      <c r="Q17" s="81" t="s">
        <v>599</v>
      </c>
      <c r="R17" s="90">
        <f>SUM(R16)</f>
        <v>6</v>
      </c>
      <c r="S17" s="81">
        <v>1.96</v>
      </c>
      <c r="T17" s="81" t="s">
        <v>482</v>
      </c>
      <c r="U17" s="90">
        <f>SUM(U16)</f>
        <v>0</v>
      </c>
      <c r="V17" s="81">
        <v>0</v>
      </c>
      <c r="W17" s="81" t="s">
        <v>383</v>
      </c>
    </row>
    <row r="18" spans="1:23" ht="15" thickBot="1" x14ac:dyDescent="0.4">
      <c r="A18" s="200" t="s">
        <v>601</v>
      </c>
      <c r="B18" s="93">
        <f>SUM(B15,B17)</f>
        <v>3747</v>
      </c>
      <c r="C18" s="93">
        <f>SUM(C15,C17)</f>
        <v>1506</v>
      </c>
      <c r="D18" s="85">
        <v>40.6</v>
      </c>
      <c r="E18" s="96" t="s">
        <v>602</v>
      </c>
      <c r="F18" s="93">
        <f>SUM(F15,F17)</f>
        <v>1309</v>
      </c>
      <c r="G18" s="85">
        <v>35.299999999999997</v>
      </c>
      <c r="H18" s="96" t="s">
        <v>603</v>
      </c>
      <c r="I18" s="181">
        <f>SUM(I15,I17)</f>
        <v>121</v>
      </c>
      <c r="J18" s="85">
        <v>5.5</v>
      </c>
      <c r="K18" s="96" t="s">
        <v>604</v>
      </c>
      <c r="L18" s="181">
        <f>SUM(L15,L17)</f>
        <v>3</v>
      </c>
      <c r="M18" s="85">
        <v>0.1</v>
      </c>
      <c r="N18" s="96" t="s">
        <v>605</v>
      </c>
      <c r="O18" s="93">
        <f>SUM(O15,O17)</f>
        <v>166</v>
      </c>
      <c r="P18" s="85">
        <v>4.5</v>
      </c>
      <c r="Q18" s="96" t="s">
        <v>606</v>
      </c>
      <c r="R18" s="93">
        <f>SUM(R15,R17)</f>
        <v>31</v>
      </c>
      <c r="S18" s="85">
        <v>0.8</v>
      </c>
      <c r="T18" s="96" t="s">
        <v>607</v>
      </c>
      <c r="U18" s="93">
        <f>SUM(U15,U17)</f>
        <v>3</v>
      </c>
      <c r="V18" s="85">
        <v>0.1</v>
      </c>
      <c r="W18" s="96" t="s">
        <v>608</v>
      </c>
    </row>
    <row r="20" spans="1:23" x14ac:dyDescent="0.35">
      <c r="B20" s="175"/>
      <c r="C20" s="245" t="s">
        <v>326</v>
      </c>
      <c r="D20" s="246"/>
      <c r="E20" s="254"/>
      <c r="F20" s="246"/>
      <c r="G20" s="246"/>
      <c r="H20" s="246"/>
      <c r="I20" s="246"/>
      <c r="J20" s="248"/>
      <c r="K20" s="205"/>
      <c r="L20"/>
      <c r="N20" s="182"/>
      <c r="O20"/>
      <c r="Q20" s="182"/>
      <c r="R20"/>
      <c r="T20" s="182"/>
      <c r="U20"/>
    </row>
    <row r="21" spans="1:23" x14ac:dyDescent="0.35">
      <c r="B21" s="165" t="s">
        <v>153</v>
      </c>
      <c r="C21" s="249" t="s">
        <v>154</v>
      </c>
      <c r="D21" s="250"/>
      <c r="E21" s="255"/>
      <c r="F21" s="250"/>
      <c r="G21" s="250"/>
      <c r="H21" s="250"/>
      <c r="I21" s="250"/>
      <c r="J21" s="252"/>
      <c r="K21" s="205"/>
      <c r="L21"/>
      <c r="N21" s="182"/>
      <c r="O21"/>
      <c r="Q21" s="182"/>
      <c r="R21"/>
      <c r="T21" s="182"/>
      <c r="U21"/>
    </row>
  </sheetData>
  <mergeCells count="11">
    <mergeCell ref="U1:W1"/>
    <mergeCell ref="C20:J20"/>
    <mergeCell ref="C21:J21"/>
    <mergeCell ref="L1:N1"/>
    <mergeCell ref="O1:Q1"/>
    <mergeCell ref="R1:T1"/>
    <mergeCell ref="A1:A2"/>
    <mergeCell ref="B1:B2"/>
    <mergeCell ref="C1:E1"/>
    <mergeCell ref="F1:H1"/>
    <mergeCell ref="I1:K1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2">
    <tabColor theme="7" tint="0.59999389629810485"/>
  </sheetPr>
  <dimension ref="A1:W42"/>
  <sheetViews>
    <sheetView zoomScale="80" zoomScaleNormal="80" workbookViewId="0">
      <pane ySplit="2" topLeftCell="A3" activePane="bottomLeft" state="frozen"/>
      <selection pane="bottomLeft" activeCell="O48" sqref="O48"/>
    </sheetView>
  </sheetViews>
  <sheetFormatPr defaultColWidth="10.6328125" defaultRowHeight="14.5" x14ac:dyDescent="0.35"/>
  <cols>
    <col min="1" max="1" width="35.54296875" style="60" customWidth="1"/>
    <col min="3" max="23" width="10.36328125" customWidth="1"/>
    <col min="24" max="24" width="14.36328125" customWidth="1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85" t="s">
        <v>83</v>
      </c>
      <c r="J2" s="94" t="s">
        <v>175</v>
      </c>
      <c r="K2" s="85" t="s">
        <v>176</v>
      </c>
      <c r="L2" s="85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3" t="s">
        <v>177</v>
      </c>
      <c r="B3" s="45">
        <v>310</v>
      </c>
      <c r="C3" s="6">
        <v>64</v>
      </c>
      <c r="D3" s="7">
        <v>20.6</v>
      </c>
      <c r="E3" s="71" t="s">
        <v>609</v>
      </c>
      <c r="F3" s="6">
        <v>49</v>
      </c>
      <c r="G3" s="7">
        <v>15.8</v>
      </c>
      <c r="H3" s="7" t="s">
        <v>178</v>
      </c>
      <c r="I3" s="7" t="s">
        <v>119</v>
      </c>
      <c r="J3" s="48" t="s">
        <v>610</v>
      </c>
      <c r="K3" s="7" t="s">
        <v>610</v>
      </c>
      <c r="L3" s="7" t="s">
        <v>119</v>
      </c>
      <c r="M3" s="48" t="s">
        <v>610</v>
      </c>
      <c r="N3" s="7" t="s">
        <v>610</v>
      </c>
      <c r="O3" s="6">
        <v>15</v>
      </c>
      <c r="P3" s="7">
        <v>4.8</v>
      </c>
      <c r="Q3" s="7" t="s">
        <v>180</v>
      </c>
      <c r="R3" s="6">
        <v>0</v>
      </c>
      <c r="S3" s="7">
        <v>0</v>
      </c>
      <c r="T3" s="7" t="s">
        <v>181</v>
      </c>
      <c r="U3" s="6">
        <v>0</v>
      </c>
      <c r="V3" s="7">
        <v>0</v>
      </c>
      <c r="W3" s="7" t="s">
        <v>181</v>
      </c>
    </row>
    <row r="4" spans="1:23" x14ac:dyDescent="0.35">
      <c r="A4" s="23" t="s">
        <v>183</v>
      </c>
      <c r="B4" s="45">
        <v>311</v>
      </c>
      <c r="C4" s="6">
        <v>101</v>
      </c>
      <c r="D4" s="7">
        <v>32.5</v>
      </c>
      <c r="E4" s="71" t="s">
        <v>611</v>
      </c>
      <c r="F4" s="6">
        <v>99</v>
      </c>
      <c r="G4" s="7">
        <v>31.8</v>
      </c>
      <c r="H4" s="7" t="s">
        <v>612</v>
      </c>
      <c r="I4" s="7" t="s">
        <v>119</v>
      </c>
      <c r="J4" s="48" t="s">
        <v>610</v>
      </c>
      <c r="K4" s="7" t="s">
        <v>610</v>
      </c>
      <c r="L4" s="7" t="s">
        <v>119</v>
      </c>
      <c r="M4" s="48" t="s">
        <v>610</v>
      </c>
      <c r="N4" s="7" t="s">
        <v>610</v>
      </c>
      <c r="O4" s="6">
        <v>2</v>
      </c>
      <c r="P4" s="7">
        <v>0.6</v>
      </c>
      <c r="Q4" s="7" t="s">
        <v>613</v>
      </c>
      <c r="R4" s="6">
        <v>0</v>
      </c>
      <c r="S4" s="7">
        <v>0</v>
      </c>
      <c r="T4" s="7" t="s">
        <v>181</v>
      </c>
      <c r="U4" s="6">
        <v>0</v>
      </c>
      <c r="V4" s="7">
        <v>0</v>
      </c>
      <c r="W4" s="7" t="s">
        <v>181</v>
      </c>
    </row>
    <row r="5" spans="1:23" x14ac:dyDescent="0.35">
      <c r="A5" s="23" t="s">
        <v>118</v>
      </c>
      <c r="B5" s="45">
        <v>152</v>
      </c>
      <c r="C5" s="6">
        <v>70</v>
      </c>
      <c r="D5" s="7">
        <v>46</v>
      </c>
      <c r="E5" s="71" t="s">
        <v>614</v>
      </c>
      <c r="F5" s="6">
        <v>55</v>
      </c>
      <c r="G5" s="7">
        <v>36.200000000000003</v>
      </c>
      <c r="H5" s="7" t="s">
        <v>615</v>
      </c>
      <c r="I5" s="7">
        <v>5</v>
      </c>
      <c r="J5" s="7">
        <v>3.3</v>
      </c>
      <c r="K5" s="7" t="s">
        <v>616</v>
      </c>
      <c r="L5" s="7">
        <v>0</v>
      </c>
      <c r="M5" s="7">
        <v>0</v>
      </c>
      <c r="N5" s="7" t="s">
        <v>201</v>
      </c>
      <c r="O5" s="6">
        <v>14</v>
      </c>
      <c r="P5" s="7">
        <v>9.1999999999999993</v>
      </c>
      <c r="Q5" s="7" t="s">
        <v>617</v>
      </c>
      <c r="R5" s="6">
        <v>1</v>
      </c>
      <c r="S5" s="7">
        <v>0.7</v>
      </c>
      <c r="T5" s="7" t="s">
        <v>618</v>
      </c>
      <c r="U5" s="6">
        <v>0</v>
      </c>
      <c r="V5" s="7">
        <v>0</v>
      </c>
      <c r="W5" s="7" t="s">
        <v>201</v>
      </c>
    </row>
    <row r="6" spans="1:23" s="4" customFormat="1" x14ac:dyDescent="0.35">
      <c r="A6" s="23" t="s">
        <v>120</v>
      </c>
      <c r="B6" s="45">
        <v>146</v>
      </c>
      <c r="C6" s="6">
        <v>22</v>
      </c>
      <c r="D6" s="7">
        <v>15.1</v>
      </c>
      <c r="E6" s="71" t="s">
        <v>619</v>
      </c>
      <c r="F6" s="6">
        <v>16</v>
      </c>
      <c r="G6" s="7">
        <v>11</v>
      </c>
      <c r="H6" s="7" t="s">
        <v>620</v>
      </c>
      <c r="I6" s="7">
        <v>7</v>
      </c>
      <c r="J6" s="7">
        <v>4.8</v>
      </c>
      <c r="K6" s="7" t="s">
        <v>621</v>
      </c>
      <c r="L6" s="7">
        <v>0</v>
      </c>
      <c r="M6" s="7">
        <v>0</v>
      </c>
      <c r="N6" s="7" t="s">
        <v>311</v>
      </c>
      <c r="O6" s="6">
        <v>6</v>
      </c>
      <c r="P6" s="7">
        <v>4.0999999999999996</v>
      </c>
      <c r="Q6" s="7" t="s">
        <v>622</v>
      </c>
      <c r="R6" s="6">
        <v>0</v>
      </c>
      <c r="S6" s="7">
        <v>0</v>
      </c>
      <c r="T6" s="7" t="s">
        <v>311</v>
      </c>
      <c r="U6" s="6">
        <v>0</v>
      </c>
      <c r="V6" s="7">
        <v>0</v>
      </c>
      <c r="W6" s="7" t="s">
        <v>311</v>
      </c>
    </row>
    <row r="7" spans="1:23" x14ac:dyDescent="0.35">
      <c r="A7" s="23" t="s">
        <v>121</v>
      </c>
      <c r="B7" s="45">
        <v>147</v>
      </c>
      <c r="C7" s="6">
        <v>37</v>
      </c>
      <c r="D7" s="7">
        <v>25.2</v>
      </c>
      <c r="E7" s="71" t="s">
        <v>623</v>
      </c>
      <c r="F7" s="6">
        <v>35</v>
      </c>
      <c r="G7" s="7">
        <v>23.8</v>
      </c>
      <c r="H7" s="7" t="s">
        <v>624</v>
      </c>
      <c r="I7" s="7">
        <v>9</v>
      </c>
      <c r="J7" s="7">
        <v>6.1</v>
      </c>
      <c r="K7" s="7" t="s">
        <v>625</v>
      </c>
      <c r="L7" s="7">
        <v>0</v>
      </c>
      <c r="M7" s="7">
        <v>0</v>
      </c>
      <c r="N7" s="7" t="s">
        <v>311</v>
      </c>
      <c r="O7" s="6">
        <v>1</v>
      </c>
      <c r="P7" s="7">
        <v>0.7</v>
      </c>
      <c r="Q7" s="7" t="s">
        <v>202</v>
      </c>
      <c r="R7" s="6">
        <v>1</v>
      </c>
      <c r="S7" s="7">
        <v>0.7</v>
      </c>
      <c r="T7" s="7" t="s">
        <v>202</v>
      </c>
      <c r="U7" s="6">
        <v>0</v>
      </c>
      <c r="V7" s="7">
        <v>0</v>
      </c>
      <c r="W7" s="7" t="s">
        <v>311</v>
      </c>
    </row>
    <row r="8" spans="1:23" x14ac:dyDescent="0.35">
      <c r="A8" s="23" t="s">
        <v>204</v>
      </c>
      <c r="B8" s="45">
        <v>295</v>
      </c>
      <c r="C8" s="6">
        <v>84</v>
      </c>
      <c r="D8" s="7">
        <v>28.5</v>
      </c>
      <c r="E8" s="71" t="s">
        <v>626</v>
      </c>
      <c r="F8" s="6">
        <v>60</v>
      </c>
      <c r="G8" s="7">
        <v>20.3</v>
      </c>
      <c r="H8" s="7" t="s">
        <v>627</v>
      </c>
      <c r="I8" s="6" t="s">
        <v>119</v>
      </c>
      <c r="J8" s="7" t="s">
        <v>610</v>
      </c>
      <c r="K8" s="7" t="s">
        <v>610</v>
      </c>
      <c r="L8" s="7" t="s">
        <v>119</v>
      </c>
      <c r="M8" s="7" t="s">
        <v>610</v>
      </c>
      <c r="N8" s="7" t="s">
        <v>610</v>
      </c>
      <c r="O8" s="6">
        <v>24</v>
      </c>
      <c r="P8" s="7">
        <v>8.1</v>
      </c>
      <c r="Q8" s="7" t="s">
        <v>628</v>
      </c>
      <c r="R8" s="6">
        <v>0</v>
      </c>
      <c r="S8" s="7">
        <v>0</v>
      </c>
      <c r="T8" s="7" t="s">
        <v>181</v>
      </c>
      <c r="U8" s="6">
        <v>0</v>
      </c>
      <c r="V8" s="7">
        <v>0</v>
      </c>
      <c r="W8" s="7" t="s">
        <v>181</v>
      </c>
    </row>
    <row r="9" spans="1:23" x14ac:dyDescent="0.35">
      <c r="A9" s="23" t="s">
        <v>123</v>
      </c>
      <c r="B9" s="45">
        <v>301</v>
      </c>
      <c r="C9" s="6">
        <v>19</v>
      </c>
      <c r="D9" s="7">
        <v>6.6</v>
      </c>
      <c r="E9" s="71" t="s">
        <v>629</v>
      </c>
      <c r="F9" s="6">
        <v>9</v>
      </c>
      <c r="G9" s="7">
        <v>3.2</v>
      </c>
      <c r="H9" s="7" t="s">
        <v>242</v>
      </c>
      <c r="I9" s="7">
        <v>4</v>
      </c>
      <c r="J9" s="7">
        <v>1.4</v>
      </c>
      <c r="K9" s="7" t="s">
        <v>630</v>
      </c>
      <c r="L9" s="7">
        <v>0</v>
      </c>
      <c r="M9" s="7">
        <v>0</v>
      </c>
      <c r="N9" s="7" t="s">
        <v>181</v>
      </c>
      <c r="O9" s="6">
        <v>5</v>
      </c>
      <c r="P9" s="7">
        <v>1.8</v>
      </c>
      <c r="Q9" s="7" t="s">
        <v>631</v>
      </c>
      <c r="R9" s="6">
        <v>5</v>
      </c>
      <c r="S9" s="7">
        <v>1.8</v>
      </c>
      <c r="T9" s="7" t="s">
        <v>631</v>
      </c>
      <c r="U9" s="6">
        <v>0</v>
      </c>
      <c r="V9" s="7">
        <v>0</v>
      </c>
      <c r="W9" s="7" t="s">
        <v>181</v>
      </c>
    </row>
    <row r="10" spans="1:23" x14ac:dyDescent="0.35">
      <c r="A10" s="23" t="s">
        <v>124</v>
      </c>
      <c r="B10" s="45">
        <v>150</v>
      </c>
      <c r="C10" s="6">
        <v>80</v>
      </c>
      <c r="D10" s="7">
        <v>53.3</v>
      </c>
      <c r="E10" s="71" t="s">
        <v>632</v>
      </c>
      <c r="F10" s="6">
        <v>60</v>
      </c>
      <c r="G10" s="7">
        <v>40</v>
      </c>
      <c r="H10" s="7" t="s">
        <v>633</v>
      </c>
      <c r="I10" s="7">
        <v>10</v>
      </c>
      <c r="J10" s="7">
        <v>6.7</v>
      </c>
      <c r="K10" s="7" t="s">
        <v>249</v>
      </c>
      <c r="L10" s="7">
        <v>1</v>
      </c>
      <c r="M10" s="7">
        <v>0.7</v>
      </c>
      <c r="N10" s="7" t="s">
        <v>202</v>
      </c>
      <c r="O10" s="6">
        <v>19</v>
      </c>
      <c r="P10" s="7">
        <v>12.7</v>
      </c>
      <c r="Q10" s="7" t="s">
        <v>200</v>
      </c>
      <c r="R10" s="6">
        <v>1</v>
      </c>
      <c r="S10" s="7">
        <v>0.7</v>
      </c>
      <c r="T10" s="7" t="s">
        <v>202</v>
      </c>
      <c r="U10" s="6">
        <v>0</v>
      </c>
      <c r="V10" s="7">
        <v>0</v>
      </c>
      <c r="W10" s="7" t="s">
        <v>201</v>
      </c>
    </row>
    <row r="11" spans="1:23" x14ac:dyDescent="0.35">
      <c r="A11" s="23" t="s">
        <v>217</v>
      </c>
      <c r="B11" s="45">
        <v>290</v>
      </c>
      <c r="C11" s="6">
        <v>1</v>
      </c>
      <c r="D11" s="7">
        <v>0.3</v>
      </c>
      <c r="E11" s="71" t="s">
        <v>634</v>
      </c>
      <c r="F11" s="6">
        <v>1</v>
      </c>
      <c r="G11" s="7">
        <v>0.3</v>
      </c>
      <c r="H11" s="7" t="s">
        <v>634</v>
      </c>
      <c r="I11" s="6" t="s">
        <v>119</v>
      </c>
      <c r="J11" s="7" t="s">
        <v>610</v>
      </c>
      <c r="K11" s="7" t="s">
        <v>610</v>
      </c>
      <c r="L11" s="7" t="s">
        <v>119</v>
      </c>
      <c r="M11" s="7" t="s">
        <v>610</v>
      </c>
      <c r="N11" s="7" t="s">
        <v>610</v>
      </c>
      <c r="O11" s="6">
        <v>0</v>
      </c>
      <c r="P11" s="7">
        <v>0</v>
      </c>
      <c r="Q11" s="7" t="s">
        <v>293</v>
      </c>
      <c r="R11" s="6">
        <v>0</v>
      </c>
      <c r="S11" s="7">
        <v>0</v>
      </c>
      <c r="T11" s="7" t="s">
        <v>293</v>
      </c>
      <c r="U11" s="6">
        <v>0</v>
      </c>
      <c r="V11" s="7">
        <v>0</v>
      </c>
      <c r="W11" s="7" t="s">
        <v>293</v>
      </c>
    </row>
    <row r="12" spans="1:23" x14ac:dyDescent="0.35">
      <c r="A12" s="23" t="s">
        <v>126</v>
      </c>
      <c r="B12" s="45">
        <v>255</v>
      </c>
      <c r="C12" s="6">
        <v>45</v>
      </c>
      <c r="D12" s="7">
        <v>17.7</v>
      </c>
      <c r="E12" s="71" t="s">
        <v>635</v>
      </c>
      <c r="F12" s="6">
        <v>40</v>
      </c>
      <c r="G12" s="7">
        <v>15.7</v>
      </c>
      <c r="H12" s="7" t="s">
        <v>636</v>
      </c>
      <c r="I12" s="7">
        <v>5</v>
      </c>
      <c r="J12" s="7">
        <v>2</v>
      </c>
      <c r="K12" s="7" t="s">
        <v>637</v>
      </c>
      <c r="L12" s="7">
        <v>0</v>
      </c>
      <c r="M12" s="7">
        <v>0</v>
      </c>
      <c r="N12" s="7" t="s">
        <v>301</v>
      </c>
      <c r="O12" s="6">
        <v>5</v>
      </c>
      <c r="P12" s="7">
        <v>2</v>
      </c>
      <c r="Q12" s="7" t="s">
        <v>637</v>
      </c>
      <c r="R12" s="6">
        <v>0</v>
      </c>
      <c r="S12" s="7">
        <v>0</v>
      </c>
      <c r="T12" s="7" t="s">
        <v>301</v>
      </c>
      <c r="U12" s="6">
        <v>0</v>
      </c>
      <c r="V12" s="7">
        <v>0</v>
      </c>
      <c r="W12" s="7" t="s">
        <v>301</v>
      </c>
    </row>
    <row r="13" spans="1:23" x14ac:dyDescent="0.35">
      <c r="A13" s="23" t="s">
        <v>127</v>
      </c>
      <c r="B13" s="45">
        <v>396</v>
      </c>
      <c r="C13" s="6">
        <v>140</v>
      </c>
      <c r="D13" s="7">
        <v>37.9</v>
      </c>
      <c r="E13" s="71" t="s">
        <v>638</v>
      </c>
      <c r="F13" s="6">
        <v>134</v>
      </c>
      <c r="G13" s="7">
        <v>36.299999999999997</v>
      </c>
      <c r="H13" s="7" t="s">
        <v>639</v>
      </c>
      <c r="I13" s="6" t="s">
        <v>119</v>
      </c>
      <c r="J13" s="7" t="s">
        <v>610</v>
      </c>
      <c r="K13" s="7" t="s">
        <v>610</v>
      </c>
      <c r="L13" s="7" t="s">
        <v>119</v>
      </c>
      <c r="M13" s="7" t="s">
        <v>610</v>
      </c>
      <c r="N13" s="7" t="s">
        <v>610</v>
      </c>
      <c r="O13" s="6">
        <v>6</v>
      </c>
      <c r="P13" s="7">
        <v>1.6</v>
      </c>
      <c r="Q13" s="7" t="s">
        <v>640</v>
      </c>
      <c r="R13" s="6">
        <v>0</v>
      </c>
      <c r="S13" s="7">
        <v>0</v>
      </c>
      <c r="T13" s="7" t="s">
        <v>226</v>
      </c>
      <c r="U13" s="6">
        <v>0</v>
      </c>
      <c r="V13" s="7">
        <v>0</v>
      </c>
      <c r="W13" s="7" t="s">
        <v>226</v>
      </c>
    </row>
    <row r="14" spans="1:23" x14ac:dyDescent="0.35">
      <c r="A14" s="23" t="s">
        <v>129</v>
      </c>
      <c r="B14" s="45">
        <v>92</v>
      </c>
      <c r="C14" s="6">
        <v>49</v>
      </c>
      <c r="D14" s="7">
        <v>54.4</v>
      </c>
      <c r="E14" s="71" t="s">
        <v>641</v>
      </c>
      <c r="F14" s="6">
        <v>45</v>
      </c>
      <c r="G14" s="7">
        <v>49.9</v>
      </c>
      <c r="H14" s="7" t="s">
        <v>642</v>
      </c>
      <c r="I14" s="7">
        <v>9</v>
      </c>
      <c r="J14" s="7">
        <v>10</v>
      </c>
      <c r="K14" s="7" t="s">
        <v>643</v>
      </c>
      <c r="L14" s="7">
        <v>0</v>
      </c>
      <c r="M14" s="7">
        <v>0</v>
      </c>
      <c r="N14" s="7" t="s">
        <v>351</v>
      </c>
      <c r="O14" s="6">
        <v>4</v>
      </c>
      <c r="P14" s="7">
        <v>4.4000000000000004</v>
      </c>
      <c r="Q14" s="7" t="s">
        <v>644</v>
      </c>
      <c r="R14" s="6">
        <v>0</v>
      </c>
      <c r="S14" s="7">
        <v>0</v>
      </c>
      <c r="T14" s="7" t="s">
        <v>351</v>
      </c>
      <c r="U14" s="6">
        <v>0</v>
      </c>
      <c r="V14" s="7">
        <v>0</v>
      </c>
      <c r="W14" s="7" t="s">
        <v>351</v>
      </c>
    </row>
    <row r="15" spans="1:23" x14ac:dyDescent="0.35">
      <c r="A15" s="23" t="s">
        <v>130</v>
      </c>
      <c r="B15" s="45">
        <v>335</v>
      </c>
      <c r="C15" s="6">
        <v>197</v>
      </c>
      <c r="D15" s="7">
        <v>58.8</v>
      </c>
      <c r="E15" s="71" t="s">
        <v>645</v>
      </c>
      <c r="F15" s="6">
        <v>159</v>
      </c>
      <c r="G15" s="7">
        <v>47.5</v>
      </c>
      <c r="H15" s="7" t="s">
        <v>646</v>
      </c>
      <c r="I15" s="7">
        <v>75</v>
      </c>
      <c r="J15" s="7">
        <v>22.4</v>
      </c>
      <c r="K15" s="7" t="s">
        <v>647</v>
      </c>
      <c r="L15" s="7">
        <v>13</v>
      </c>
      <c r="M15" s="7">
        <v>3.9</v>
      </c>
      <c r="N15" s="7" t="s">
        <v>648</v>
      </c>
      <c r="O15" s="6">
        <v>34</v>
      </c>
      <c r="P15" s="7">
        <v>10.199999999999999</v>
      </c>
      <c r="Q15" s="7" t="s">
        <v>649</v>
      </c>
      <c r="R15" s="6">
        <v>4</v>
      </c>
      <c r="S15" s="7">
        <v>1.2</v>
      </c>
      <c r="T15" s="7" t="s">
        <v>650</v>
      </c>
      <c r="U15" s="6">
        <v>0</v>
      </c>
      <c r="V15" s="7">
        <v>0</v>
      </c>
      <c r="W15" s="7" t="s">
        <v>212</v>
      </c>
    </row>
    <row r="16" spans="1:23" x14ac:dyDescent="0.35">
      <c r="A16" s="23" t="s">
        <v>131</v>
      </c>
      <c r="B16" s="45">
        <v>300</v>
      </c>
      <c r="C16" s="6">
        <v>51</v>
      </c>
      <c r="D16" s="7">
        <v>17</v>
      </c>
      <c r="E16" s="71" t="s">
        <v>651</v>
      </c>
      <c r="F16" s="6">
        <v>51</v>
      </c>
      <c r="G16" s="7">
        <v>17</v>
      </c>
      <c r="H16" s="7" t="s">
        <v>651</v>
      </c>
      <c r="I16" s="7">
        <v>3</v>
      </c>
      <c r="J16" s="7">
        <v>1</v>
      </c>
      <c r="K16" s="7" t="s">
        <v>218</v>
      </c>
      <c r="L16" s="7">
        <v>1</v>
      </c>
      <c r="M16" s="7">
        <v>0.3</v>
      </c>
      <c r="N16" s="7" t="s">
        <v>182</v>
      </c>
      <c r="O16" s="6">
        <v>0</v>
      </c>
      <c r="P16" s="7">
        <v>0</v>
      </c>
      <c r="Q16" s="7" t="s">
        <v>181</v>
      </c>
      <c r="R16" s="6">
        <v>0</v>
      </c>
      <c r="S16" s="7">
        <v>0</v>
      </c>
      <c r="T16" s="7" t="s">
        <v>181</v>
      </c>
      <c r="U16" s="6">
        <v>0</v>
      </c>
      <c r="V16" s="7">
        <v>0</v>
      </c>
      <c r="W16" s="7" t="s">
        <v>181</v>
      </c>
    </row>
    <row r="17" spans="1:23" x14ac:dyDescent="0.35">
      <c r="A17" s="23" t="s">
        <v>157</v>
      </c>
      <c r="B17" s="45">
        <v>301</v>
      </c>
      <c r="C17" s="6">
        <v>93</v>
      </c>
      <c r="D17" s="7">
        <v>30.9</v>
      </c>
      <c r="E17" s="71" t="s">
        <v>652</v>
      </c>
      <c r="F17" s="6">
        <v>59</v>
      </c>
      <c r="G17" s="7">
        <v>19.600000000000001</v>
      </c>
      <c r="H17" s="7" t="s">
        <v>653</v>
      </c>
      <c r="I17" s="6" t="s">
        <v>119</v>
      </c>
      <c r="J17" s="7" t="s">
        <v>610</v>
      </c>
      <c r="K17" s="7" t="s">
        <v>610</v>
      </c>
      <c r="L17" s="7" t="s">
        <v>119</v>
      </c>
      <c r="M17" s="7" t="s">
        <v>610</v>
      </c>
      <c r="N17" s="7" t="s">
        <v>610</v>
      </c>
      <c r="O17" s="6">
        <v>34</v>
      </c>
      <c r="P17" s="7">
        <v>11.3</v>
      </c>
      <c r="Q17" s="7" t="s">
        <v>654</v>
      </c>
      <c r="R17" s="6">
        <v>0</v>
      </c>
      <c r="S17" s="7">
        <v>0</v>
      </c>
      <c r="T17" s="7" t="s">
        <v>181</v>
      </c>
      <c r="U17" s="6">
        <v>0</v>
      </c>
      <c r="V17" s="7">
        <v>0</v>
      </c>
      <c r="W17" s="7" t="s">
        <v>181</v>
      </c>
    </row>
    <row r="18" spans="1:23" x14ac:dyDescent="0.35">
      <c r="A18" s="23" t="s">
        <v>133</v>
      </c>
      <c r="B18" s="45">
        <v>153</v>
      </c>
      <c r="C18" s="6">
        <v>59</v>
      </c>
      <c r="D18" s="7">
        <v>38.6</v>
      </c>
      <c r="E18" s="71" t="s">
        <v>655</v>
      </c>
      <c r="F18" s="6">
        <v>49</v>
      </c>
      <c r="G18" s="7">
        <v>32</v>
      </c>
      <c r="H18" s="7" t="s">
        <v>656</v>
      </c>
      <c r="I18" s="7">
        <v>16</v>
      </c>
      <c r="J18" s="7">
        <v>10.5</v>
      </c>
      <c r="K18" s="7" t="s">
        <v>657</v>
      </c>
      <c r="L18" s="7">
        <v>1</v>
      </c>
      <c r="M18" s="7">
        <v>0.7</v>
      </c>
      <c r="N18" s="7" t="s">
        <v>618</v>
      </c>
      <c r="O18" s="6">
        <v>10</v>
      </c>
      <c r="P18" s="7">
        <v>6.5</v>
      </c>
      <c r="Q18" s="7" t="s">
        <v>658</v>
      </c>
      <c r="R18" s="6">
        <v>0</v>
      </c>
      <c r="S18" s="7">
        <v>0</v>
      </c>
      <c r="T18" s="7" t="s">
        <v>201</v>
      </c>
      <c r="U18" s="6">
        <v>0</v>
      </c>
      <c r="V18" s="7">
        <v>0</v>
      </c>
      <c r="W18" s="7" t="s">
        <v>201</v>
      </c>
    </row>
    <row r="19" spans="1:23" x14ac:dyDescent="0.35">
      <c r="A19" s="23" t="s">
        <v>134</v>
      </c>
      <c r="B19" s="45">
        <v>150</v>
      </c>
      <c r="C19" s="6">
        <v>102</v>
      </c>
      <c r="D19" s="7">
        <v>68</v>
      </c>
      <c r="E19" s="71" t="s">
        <v>251</v>
      </c>
      <c r="F19" s="6">
        <v>90</v>
      </c>
      <c r="G19" s="7">
        <v>60</v>
      </c>
      <c r="H19" s="7" t="s">
        <v>659</v>
      </c>
      <c r="I19" s="7">
        <v>26</v>
      </c>
      <c r="J19" s="7">
        <v>17.3</v>
      </c>
      <c r="K19" s="7" t="s">
        <v>660</v>
      </c>
      <c r="L19" s="7">
        <v>0</v>
      </c>
      <c r="M19" s="7">
        <v>0</v>
      </c>
      <c r="N19" s="7" t="s">
        <v>201</v>
      </c>
      <c r="O19" s="6">
        <v>7</v>
      </c>
      <c r="P19" s="7">
        <v>4.7</v>
      </c>
      <c r="Q19" s="7" t="s">
        <v>661</v>
      </c>
      <c r="R19" s="6">
        <v>5</v>
      </c>
      <c r="S19" s="7">
        <v>3.3</v>
      </c>
      <c r="T19" s="7" t="s">
        <v>662</v>
      </c>
      <c r="U19" s="6">
        <v>0</v>
      </c>
      <c r="V19" s="7">
        <v>0</v>
      </c>
      <c r="W19" s="7" t="s">
        <v>201</v>
      </c>
    </row>
    <row r="20" spans="1:23" x14ac:dyDescent="0.35">
      <c r="A20" s="23" t="s">
        <v>135</v>
      </c>
      <c r="B20" s="45">
        <v>115</v>
      </c>
      <c r="C20" s="6">
        <v>29</v>
      </c>
      <c r="D20" s="7">
        <v>25.2</v>
      </c>
      <c r="E20" s="71" t="s">
        <v>663</v>
      </c>
      <c r="F20" s="6">
        <v>28</v>
      </c>
      <c r="G20" s="7">
        <v>24.4</v>
      </c>
      <c r="H20" s="7" t="s">
        <v>664</v>
      </c>
      <c r="I20" s="7">
        <v>0</v>
      </c>
      <c r="J20" s="7">
        <v>0</v>
      </c>
      <c r="K20" s="7" t="s">
        <v>665</v>
      </c>
      <c r="L20" s="7">
        <v>3</v>
      </c>
      <c r="M20" s="7">
        <v>2.6</v>
      </c>
      <c r="N20" s="7" t="s">
        <v>666</v>
      </c>
      <c r="O20" s="6">
        <v>1</v>
      </c>
      <c r="P20" s="7">
        <v>0.9</v>
      </c>
      <c r="Q20" s="7" t="s">
        <v>667</v>
      </c>
      <c r="R20" s="6">
        <v>0</v>
      </c>
      <c r="S20" s="7">
        <v>0</v>
      </c>
      <c r="T20" s="7" t="s">
        <v>665</v>
      </c>
      <c r="U20" s="6">
        <v>0</v>
      </c>
      <c r="V20" s="7">
        <v>0</v>
      </c>
      <c r="W20" s="7" t="s">
        <v>665</v>
      </c>
    </row>
    <row r="21" spans="1:23" x14ac:dyDescent="0.35">
      <c r="A21" s="23" t="s">
        <v>136</v>
      </c>
      <c r="B21" s="45">
        <v>155</v>
      </c>
      <c r="C21" s="6">
        <v>32</v>
      </c>
      <c r="D21" s="7">
        <v>20.6</v>
      </c>
      <c r="E21" s="71" t="s">
        <v>668</v>
      </c>
      <c r="F21" s="6">
        <v>22</v>
      </c>
      <c r="G21" s="7">
        <v>14.2</v>
      </c>
      <c r="H21" s="7" t="s">
        <v>669</v>
      </c>
      <c r="I21" s="7">
        <v>7</v>
      </c>
      <c r="J21" s="7">
        <v>4.5</v>
      </c>
      <c r="K21" s="7" t="s">
        <v>670</v>
      </c>
      <c r="L21" s="7">
        <v>2</v>
      </c>
      <c r="M21" s="7">
        <v>1.3</v>
      </c>
      <c r="N21" s="7" t="s">
        <v>671</v>
      </c>
      <c r="O21" s="6">
        <v>7</v>
      </c>
      <c r="P21" s="7">
        <v>4.5</v>
      </c>
      <c r="Q21" s="7" t="s">
        <v>670</v>
      </c>
      <c r="R21" s="6">
        <v>3</v>
      </c>
      <c r="S21" s="7">
        <v>1.9</v>
      </c>
      <c r="T21" s="7" t="s">
        <v>672</v>
      </c>
      <c r="U21" s="6">
        <v>0</v>
      </c>
      <c r="V21" s="7">
        <v>0</v>
      </c>
      <c r="W21" s="7" t="s">
        <v>201</v>
      </c>
    </row>
    <row r="22" spans="1:23" x14ac:dyDescent="0.35">
      <c r="A22" s="23" t="s">
        <v>137</v>
      </c>
      <c r="B22" s="45">
        <v>404</v>
      </c>
      <c r="C22" s="6">
        <v>76</v>
      </c>
      <c r="D22" s="7">
        <v>19.399999999999999</v>
      </c>
      <c r="E22" s="71" t="s">
        <v>673</v>
      </c>
      <c r="F22" s="6">
        <v>76</v>
      </c>
      <c r="G22" s="7">
        <v>19.399999999999999</v>
      </c>
      <c r="H22" s="7" t="s">
        <v>673</v>
      </c>
      <c r="I22" s="6" t="s">
        <v>119</v>
      </c>
      <c r="J22" s="7" t="s">
        <v>119</v>
      </c>
      <c r="K22" s="7" t="s">
        <v>119</v>
      </c>
      <c r="L22" s="7" t="s">
        <v>119</v>
      </c>
      <c r="M22" s="7" t="s">
        <v>119</v>
      </c>
      <c r="N22" s="7" t="s">
        <v>119</v>
      </c>
      <c r="O22" s="6">
        <v>1</v>
      </c>
      <c r="P22" s="7">
        <v>0.3</v>
      </c>
      <c r="Q22" s="7" t="s">
        <v>301</v>
      </c>
      <c r="R22" s="6">
        <v>1</v>
      </c>
      <c r="S22" s="7">
        <v>0.3</v>
      </c>
      <c r="T22" s="7" t="s">
        <v>301</v>
      </c>
      <c r="U22" s="6">
        <v>0</v>
      </c>
      <c r="V22" s="7">
        <v>0</v>
      </c>
      <c r="W22" s="7" t="s">
        <v>226</v>
      </c>
    </row>
    <row r="23" spans="1:23" x14ac:dyDescent="0.35">
      <c r="A23" s="23" t="s">
        <v>138</v>
      </c>
      <c r="B23" s="45">
        <v>315</v>
      </c>
      <c r="C23" s="6">
        <v>77</v>
      </c>
      <c r="D23" s="7">
        <v>24.4</v>
      </c>
      <c r="E23" s="71" t="s">
        <v>674</v>
      </c>
      <c r="F23" s="6">
        <v>47</v>
      </c>
      <c r="G23" s="7">
        <v>14.9</v>
      </c>
      <c r="H23" s="7" t="s">
        <v>675</v>
      </c>
      <c r="I23" s="7">
        <v>11</v>
      </c>
      <c r="J23" s="7">
        <v>3.5</v>
      </c>
      <c r="K23" s="7" t="s">
        <v>676</v>
      </c>
      <c r="L23" s="7">
        <v>1</v>
      </c>
      <c r="M23" s="7">
        <v>0.3</v>
      </c>
      <c r="N23" s="7" t="s">
        <v>182</v>
      </c>
      <c r="O23" s="6">
        <v>23</v>
      </c>
      <c r="P23" s="7">
        <v>7.3</v>
      </c>
      <c r="Q23" s="7" t="s">
        <v>677</v>
      </c>
      <c r="R23" s="6">
        <v>7</v>
      </c>
      <c r="S23" s="7">
        <v>2.2000000000000002</v>
      </c>
      <c r="T23" s="7" t="s">
        <v>276</v>
      </c>
      <c r="U23" s="6">
        <v>0</v>
      </c>
      <c r="V23" s="7">
        <v>0</v>
      </c>
      <c r="W23" s="7" t="s">
        <v>181</v>
      </c>
    </row>
    <row r="24" spans="1:23" x14ac:dyDescent="0.35">
      <c r="A24" s="23" t="s">
        <v>139</v>
      </c>
      <c r="B24" s="45">
        <v>269</v>
      </c>
      <c r="C24" s="6">
        <v>135</v>
      </c>
      <c r="D24" s="7">
        <v>50.6</v>
      </c>
      <c r="E24" s="71" t="s">
        <v>678</v>
      </c>
      <c r="F24" s="6">
        <v>100</v>
      </c>
      <c r="G24" s="7">
        <v>37.5</v>
      </c>
      <c r="H24" s="7" t="s">
        <v>679</v>
      </c>
      <c r="I24" s="7">
        <v>8</v>
      </c>
      <c r="J24" s="7">
        <v>3</v>
      </c>
      <c r="K24" s="7" t="s">
        <v>680</v>
      </c>
      <c r="L24" s="7">
        <v>1</v>
      </c>
      <c r="M24" s="7">
        <v>0.4</v>
      </c>
      <c r="N24" s="7" t="s">
        <v>681</v>
      </c>
      <c r="O24" s="6">
        <v>23</v>
      </c>
      <c r="P24" s="7">
        <v>8.6</v>
      </c>
      <c r="Q24" s="7" t="s">
        <v>682</v>
      </c>
      <c r="R24" s="6">
        <v>12</v>
      </c>
      <c r="S24" s="7">
        <v>4.5</v>
      </c>
      <c r="T24" s="7" t="s">
        <v>683</v>
      </c>
      <c r="U24" s="6">
        <v>0</v>
      </c>
      <c r="V24" s="7">
        <v>0</v>
      </c>
      <c r="W24" s="7" t="s">
        <v>301</v>
      </c>
    </row>
    <row r="25" spans="1:23" x14ac:dyDescent="0.35">
      <c r="A25" s="23" t="s">
        <v>140</v>
      </c>
      <c r="B25" s="45">
        <v>303</v>
      </c>
      <c r="C25" s="6">
        <v>137</v>
      </c>
      <c r="D25" s="7">
        <v>45.2</v>
      </c>
      <c r="E25" s="71" t="s">
        <v>684</v>
      </c>
      <c r="F25" s="6">
        <v>89</v>
      </c>
      <c r="G25" s="7">
        <v>29.4</v>
      </c>
      <c r="H25" s="7" t="s">
        <v>685</v>
      </c>
      <c r="I25" s="7">
        <v>17</v>
      </c>
      <c r="J25" s="7">
        <v>5.6</v>
      </c>
      <c r="K25" s="7" t="s">
        <v>686</v>
      </c>
      <c r="L25" s="7">
        <v>0</v>
      </c>
      <c r="M25" s="7">
        <v>0</v>
      </c>
      <c r="N25" s="7" t="s">
        <v>181</v>
      </c>
      <c r="O25" s="6">
        <v>41</v>
      </c>
      <c r="P25" s="7">
        <v>13.5</v>
      </c>
      <c r="Q25" s="7" t="s">
        <v>687</v>
      </c>
      <c r="R25" s="6">
        <v>7</v>
      </c>
      <c r="S25" s="7">
        <v>2.2999999999999998</v>
      </c>
      <c r="T25" s="7" t="s">
        <v>688</v>
      </c>
      <c r="U25" s="6">
        <v>0</v>
      </c>
      <c r="V25" s="7">
        <v>0</v>
      </c>
      <c r="W25" s="7" t="s">
        <v>181</v>
      </c>
    </row>
    <row r="26" spans="1:23" x14ac:dyDescent="0.35">
      <c r="A26" s="23" t="s">
        <v>141</v>
      </c>
      <c r="B26" s="45">
        <v>150</v>
      </c>
      <c r="C26" s="6">
        <v>71</v>
      </c>
      <c r="D26" s="7">
        <v>47.3</v>
      </c>
      <c r="E26" s="71" t="s">
        <v>689</v>
      </c>
      <c r="F26" s="6">
        <v>44</v>
      </c>
      <c r="G26" s="7">
        <v>29.3</v>
      </c>
      <c r="H26" s="7" t="s">
        <v>690</v>
      </c>
      <c r="I26" s="7">
        <v>27</v>
      </c>
      <c r="J26" s="7">
        <v>18</v>
      </c>
      <c r="K26" s="7" t="s">
        <v>691</v>
      </c>
      <c r="L26" s="7">
        <v>0</v>
      </c>
      <c r="M26" s="7">
        <v>0</v>
      </c>
      <c r="N26" s="7" t="s">
        <v>201</v>
      </c>
      <c r="O26" s="6">
        <v>27</v>
      </c>
      <c r="P26" s="7">
        <v>18</v>
      </c>
      <c r="Q26" s="7" t="s">
        <v>691</v>
      </c>
      <c r="R26" s="6">
        <v>0</v>
      </c>
      <c r="S26" s="7">
        <v>0</v>
      </c>
      <c r="T26" s="7" t="s">
        <v>201</v>
      </c>
      <c r="U26" s="6">
        <v>0</v>
      </c>
      <c r="V26" s="7">
        <v>0</v>
      </c>
      <c r="W26" s="7" t="s">
        <v>201</v>
      </c>
    </row>
    <row r="27" spans="1:23" x14ac:dyDescent="0.35">
      <c r="A27" s="23" t="s">
        <v>142</v>
      </c>
      <c r="B27" s="45">
        <v>153</v>
      </c>
      <c r="C27" s="6">
        <v>40</v>
      </c>
      <c r="D27" s="7">
        <v>26.1</v>
      </c>
      <c r="E27" s="71" t="s">
        <v>692</v>
      </c>
      <c r="F27" s="6">
        <v>22</v>
      </c>
      <c r="G27" s="7">
        <v>14.4</v>
      </c>
      <c r="H27" s="7" t="s">
        <v>693</v>
      </c>
      <c r="I27" s="7">
        <v>4</v>
      </c>
      <c r="J27" s="7">
        <v>2.6</v>
      </c>
      <c r="K27" s="7" t="s">
        <v>216</v>
      </c>
      <c r="L27" s="7">
        <v>2</v>
      </c>
      <c r="M27" s="7">
        <v>1.3</v>
      </c>
      <c r="N27" s="7" t="s">
        <v>671</v>
      </c>
      <c r="O27" s="6">
        <v>18</v>
      </c>
      <c r="P27" s="7">
        <v>11.8</v>
      </c>
      <c r="Q27" s="7" t="s">
        <v>694</v>
      </c>
      <c r="R27" s="6">
        <v>0</v>
      </c>
      <c r="S27" s="7">
        <v>0</v>
      </c>
      <c r="T27" s="7" t="s">
        <v>201</v>
      </c>
      <c r="U27" s="6">
        <v>0</v>
      </c>
      <c r="V27" s="7">
        <v>0</v>
      </c>
      <c r="W27" s="7" t="s">
        <v>201</v>
      </c>
    </row>
    <row r="28" spans="1:23" x14ac:dyDescent="0.35">
      <c r="A28" s="23" t="s">
        <v>143</v>
      </c>
      <c r="B28" s="45">
        <v>300</v>
      </c>
      <c r="C28" s="6">
        <v>149</v>
      </c>
      <c r="D28" s="7">
        <v>51</v>
      </c>
      <c r="E28" s="71" t="s">
        <v>695</v>
      </c>
      <c r="F28" s="6">
        <v>112</v>
      </c>
      <c r="G28" s="7">
        <v>38.299999999999997</v>
      </c>
      <c r="H28" s="7" t="s">
        <v>696</v>
      </c>
      <c r="I28" s="7">
        <v>6</v>
      </c>
      <c r="J28" s="7">
        <v>2.1</v>
      </c>
      <c r="K28" s="7" t="s">
        <v>493</v>
      </c>
      <c r="L28" s="7">
        <v>1</v>
      </c>
      <c r="M28" s="7">
        <v>0.3</v>
      </c>
      <c r="N28" s="7" t="s">
        <v>182</v>
      </c>
      <c r="O28" s="6">
        <v>25</v>
      </c>
      <c r="P28" s="7">
        <v>8.6</v>
      </c>
      <c r="Q28" s="7" t="s">
        <v>697</v>
      </c>
      <c r="R28" s="6">
        <v>12</v>
      </c>
      <c r="S28" s="7">
        <v>4.0999999999999996</v>
      </c>
      <c r="T28" s="7" t="s">
        <v>698</v>
      </c>
      <c r="U28" s="6">
        <v>0</v>
      </c>
      <c r="V28" s="7">
        <v>0</v>
      </c>
      <c r="W28" s="7" t="s">
        <v>181</v>
      </c>
    </row>
    <row r="29" spans="1:23" x14ac:dyDescent="0.35">
      <c r="A29" s="23" t="s">
        <v>297</v>
      </c>
      <c r="B29" s="45">
        <v>300</v>
      </c>
      <c r="C29" s="6">
        <v>11</v>
      </c>
      <c r="D29" s="7">
        <v>3.7</v>
      </c>
      <c r="E29" s="71" t="s">
        <v>699</v>
      </c>
      <c r="F29" s="6">
        <v>7</v>
      </c>
      <c r="G29" s="7">
        <v>2.2999999999999998</v>
      </c>
      <c r="H29" s="7" t="s">
        <v>241</v>
      </c>
      <c r="I29" s="7" t="s">
        <v>119</v>
      </c>
      <c r="J29" s="7" t="s">
        <v>610</v>
      </c>
      <c r="K29" s="7" t="s">
        <v>610</v>
      </c>
      <c r="L29" s="7" t="s">
        <v>119</v>
      </c>
      <c r="M29" s="7" t="s">
        <v>610</v>
      </c>
      <c r="N29" s="7" t="s">
        <v>610</v>
      </c>
      <c r="O29" s="6">
        <v>4</v>
      </c>
      <c r="P29" s="7">
        <v>1.3</v>
      </c>
      <c r="Q29" s="7" t="s">
        <v>630</v>
      </c>
      <c r="R29" s="6">
        <v>0</v>
      </c>
      <c r="S29" s="7">
        <v>0</v>
      </c>
      <c r="T29" s="7" t="s">
        <v>181</v>
      </c>
      <c r="U29" s="6">
        <v>0</v>
      </c>
      <c r="V29" s="7">
        <v>0</v>
      </c>
      <c r="W29" s="7" t="s">
        <v>181</v>
      </c>
    </row>
    <row r="30" spans="1:23" ht="18.649999999999999" customHeight="1" thickBot="1" x14ac:dyDescent="0.4">
      <c r="A30" s="24" t="s">
        <v>700</v>
      </c>
      <c r="B30" s="47">
        <v>300</v>
      </c>
      <c r="C30" s="6">
        <v>25</v>
      </c>
      <c r="D30" s="7">
        <v>8.3000000000000007</v>
      </c>
      <c r="E30" s="71" t="s">
        <v>701</v>
      </c>
      <c r="F30" s="6">
        <v>13</v>
      </c>
      <c r="G30" s="7">
        <v>4.3</v>
      </c>
      <c r="H30" s="7" t="s">
        <v>702</v>
      </c>
      <c r="I30" s="7" t="s">
        <v>119</v>
      </c>
      <c r="J30" s="7" t="s">
        <v>610</v>
      </c>
      <c r="K30" s="7" t="s">
        <v>610</v>
      </c>
      <c r="L30" s="7" t="s">
        <v>119</v>
      </c>
      <c r="M30" s="7" t="s">
        <v>610</v>
      </c>
      <c r="N30" s="7" t="s">
        <v>610</v>
      </c>
      <c r="O30" s="6">
        <v>12</v>
      </c>
      <c r="P30" s="7">
        <v>4</v>
      </c>
      <c r="Q30" s="7" t="s">
        <v>698</v>
      </c>
      <c r="R30" s="6">
        <v>0</v>
      </c>
      <c r="S30" s="7">
        <v>0</v>
      </c>
      <c r="T30" s="7" t="s">
        <v>181</v>
      </c>
      <c r="U30" s="6">
        <v>0</v>
      </c>
      <c r="V30" s="7">
        <v>0</v>
      </c>
      <c r="W30" s="7" t="s">
        <v>181</v>
      </c>
    </row>
    <row r="31" spans="1:23" s="8" customFormat="1" ht="15" thickBot="1" x14ac:dyDescent="0.4">
      <c r="A31" s="210" t="s">
        <v>167</v>
      </c>
      <c r="B31" s="73">
        <f>SUM(B3:B30)</f>
        <v>6848</v>
      </c>
      <c r="C31" s="73">
        <f>SUM(C3:C30)</f>
        <v>1996</v>
      </c>
      <c r="D31" s="76">
        <v>29.4</v>
      </c>
      <c r="E31" s="89" t="s">
        <v>703</v>
      </c>
      <c r="F31" s="73">
        <f>SUM(F3:F30)</f>
        <v>1571</v>
      </c>
      <c r="G31" s="76">
        <v>23.2</v>
      </c>
      <c r="H31" s="76" t="s">
        <v>704</v>
      </c>
      <c r="I31" s="73">
        <f>SUM(I3:I30)</f>
        <v>249</v>
      </c>
      <c r="J31" s="76">
        <v>6.4</v>
      </c>
      <c r="K31" s="76" t="s">
        <v>705</v>
      </c>
      <c r="L31" s="73">
        <f>SUM(L3:L30)</f>
        <v>26</v>
      </c>
      <c r="M31" s="76">
        <v>0.7</v>
      </c>
      <c r="N31" s="76" t="s">
        <v>706</v>
      </c>
      <c r="O31" s="73">
        <f>SUM(O3:O30)</f>
        <v>368</v>
      </c>
      <c r="P31" s="76">
        <v>5.4</v>
      </c>
      <c r="Q31" s="76" t="s">
        <v>707</v>
      </c>
      <c r="R31" s="73">
        <f>SUM(R3:R30)</f>
        <v>59</v>
      </c>
      <c r="S31" s="76">
        <v>0.9</v>
      </c>
      <c r="T31" s="76" t="s">
        <v>708</v>
      </c>
      <c r="U31" s="73">
        <f>SUM(U3:U30)</f>
        <v>0</v>
      </c>
      <c r="V31" s="76">
        <v>0</v>
      </c>
      <c r="W31" s="76" t="s">
        <v>310</v>
      </c>
    </row>
    <row r="32" spans="1:23" x14ac:dyDescent="0.35">
      <c r="A32" s="149" t="s">
        <v>147</v>
      </c>
      <c r="B32" s="150">
        <v>135</v>
      </c>
      <c r="C32" s="143">
        <v>0</v>
      </c>
      <c r="D32" s="147">
        <v>0</v>
      </c>
      <c r="E32" s="148" t="s">
        <v>709</v>
      </c>
      <c r="F32" s="143">
        <v>0</v>
      </c>
      <c r="G32" s="147">
        <v>0</v>
      </c>
      <c r="H32" s="147" t="s">
        <v>709</v>
      </c>
      <c r="I32" s="147">
        <v>0</v>
      </c>
      <c r="J32" s="147">
        <v>0</v>
      </c>
      <c r="K32" s="147" t="s">
        <v>709</v>
      </c>
      <c r="L32" s="147">
        <v>0</v>
      </c>
      <c r="M32" s="147">
        <v>0</v>
      </c>
      <c r="N32" s="147" t="s">
        <v>709</v>
      </c>
      <c r="O32" s="143">
        <v>0</v>
      </c>
      <c r="P32" s="147">
        <v>0</v>
      </c>
      <c r="Q32" s="147" t="s">
        <v>709</v>
      </c>
      <c r="R32" s="143">
        <v>0</v>
      </c>
      <c r="S32" s="147">
        <v>0</v>
      </c>
      <c r="T32" s="147" t="s">
        <v>709</v>
      </c>
      <c r="U32" s="143">
        <v>0</v>
      </c>
      <c r="V32" s="147">
        <v>0</v>
      </c>
      <c r="W32" s="147" t="s">
        <v>709</v>
      </c>
    </row>
    <row r="33" spans="1:23" x14ac:dyDescent="0.35">
      <c r="A33" s="24" t="s">
        <v>169</v>
      </c>
      <c r="B33" s="47">
        <v>319</v>
      </c>
      <c r="C33" s="6">
        <v>1</v>
      </c>
      <c r="D33" s="7">
        <v>0.3</v>
      </c>
      <c r="E33" s="71" t="s">
        <v>222</v>
      </c>
      <c r="F33" s="6">
        <v>0</v>
      </c>
      <c r="G33" s="7">
        <v>0</v>
      </c>
      <c r="H33" s="7" t="s">
        <v>181</v>
      </c>
      <c r="I33" s="7" t="s">
        <v>119</v>
      </c>
      <c r="J33" s="7" t="s">
        <v>610</v>
      </c>
      <c r="K33" s="7" t="s">
        <v>610</v>
      </c>
      <c r="L33" s="7" t="s">
        <v>119</v>
      </c>
      <c r="M33" s="7" t="s">
        <v>610</v>
      </c>
      <c r="N33" s="7" t="s">
        <v>610</v>
      </c>
      <c r="O33" s="6">
        <v>1</v>
      </c>
      <c r="P33" s="7">
        <v>0.3</v>
      </c>
      <c r="Q33" s="7" t="s">
        <v>222</v>
      </c>
      <c r="R33" s="6">
        <v>0</v>
      </c>
      <c r="S33" s="7">
        <v>0</v>
      </c>
      <c r="T33" s="7" t="s">
        <v>181</v>
      </c>
      <c r="U33" s="6">
        <v>0</v>
      </c>
      <c r="V33" s="7">
        <v>0</v>
      </c>
      <c r="W33" s="7" t="s">
        <v>181</v>
      </c>
    </row>
    <row r="34" spans="1:23" x14ac:dyDescent="0.35">
      <c r="A34" s="149" t="s">
        <v>149</v>
      </c>
      <c r="B34" s="150">
        <v>4</v>
      </c>
      <c r="C34" s="143">
        <v>0</v>
      </c>
      <c r="D34" s="147">
        <v>0</v>
      </c>
      <c r="E34" s="148" t="s">
        <v>710</v>
      </c>
      <c r="F34" s="143">
        <v>0</v>
      </c>
      <c r="G34" s="147">
        <v>0</v>
      </c>
      <c r="H34" s="147" t="s">
        <v>710</v>
      </c>
      <c r="I34" s="147">
        <v>0</v>
      </c>
      <c r="J34" s="147">
        <v>0</v>
      </c>
      <c r="K34" s="147" t="s">
        <v>710</v>
      </c>
      <c r="L34" s="147">
        <v>0</v>
      </c>
      <c r="M34" s="147">
        <v>0</v>
      </c>
      <c r="N34" s="147" t="s">
        <v>710</v>
      </c>
      <c r="O34" s="143">
        <v>0</v>
      </c>
      <c r="P34" s="147">
        <v>0</v>
      </c>
      <c r="Q34" s="147" t="s">
        <v>710</v>
      </c>
      <c r="R34" s="143">
        <v>0</v>
      </c>
      <c r="S34" s="147">
        <v>0</v>
      </c>
      <c r="T34" s="147" t="s">
        <v>710</v>
      </c>
      <c r="U34" s="143">
        <v>0</v>
      </c>
      <c r="V34" s="147">
        <v>0</v>
      </c>
      <c r="W34" s="147" t="s">
        <v>710</v>
      </c>
    </row>
    <row r="35" spans="1:23" ht="15" thickBot="1" x14ac:dyDescent="0.4">
      <c r="A35" s="23" t="s">
        <v>150</v>
      </c>
      <c r="B35" s="45">
        <v>310</v>
      </c>
      <c r="C35" s="6">
        <v>75</v>
      </c>
      <c r="D35" s="7">
        <v>24.2</v>
      </c>
      <c r="E35" s="71" t="s">
        <v>711</v>
      </c>
      <c r="F35" s="6">
        <v>65</v>
      </c>
      <c r="G35" s="7">
        <v>21</v>
      </c>
      <c r="H35" s="7" t="s">
        <v>712</v>
      </c>
      <c r="I35" s="7">
        <v>3</v>
      </c>
      <c r="J35" s="7">
        <v>1</v>
      </c>
      <c r="K35" s="7" t="s">
        <v>713</v>
      </c>
      <c r="L35" s="7">
        <v>7</v>
      </c>
      <c r="M35" s="7">
        <v>2.2999999999999998</v>
      </c>
      <c r="N35" s="7" t="s">
        <v>357</v>
      </c>
      <c r="O35" s="6">
        <v>9</v>
      </c>
      <c r="P35" s="7">
        <v>2.9</v>
      </c>
      <c r="Q35" s="7" t="s">
        <v>714</v>
      </c>
      <c r="R35" s="6">
        <v>1</v>
      </c>
      <c r="S35" s="7">
        <v>0.3</v>
      </c>
      <c r="T35" s="7" t="s">
        <v>182</v>
      </c>
      <c r="U35" s="6">
        <v>0</v>
      </c>
      <c r="V35" s="7">
        <v>0</v>
      </c>
      <c r="W35" s="7" t="s">
        <v>181</v>
      </c>
    </row>
    <row r="36" spans="1:23" s="8" customFormat="1" ht="15" thickBot="1" x14ac:dyDescent="0.4">
      <c r="A36" s="210" t="s">
        <v>715</v>
      </c>
      <c r="B36" s="73">
        <f>SUM(B32:B35)</f>
        <v>768</v>
      </c>
      <c r="C36" s="73">
        <f>SUM(C32:C35)</f>
        <v>76</v>
      </c>
      <c r="D36" s="76">
        <v>9.9</v>
      </c>
      <c r="E36" s="89" t="s">
        <v>716</v>
      </c>
      <c r="F36" s="73">
        <f>SUM(F32:F35)</f>
        <v>65</v>
      </c>
      <c r="G36" s="76">
        <v>8.5</v>
      </c>
      <c r="H36" s="76" t="s">
        <v>717</v>
      </c>
      <c r="I36" s="73">
        <f>SUM(I32:I35)</f>
        <v>3</v>
      </c>
      <c r="J36" s="76">
        <v>0.7</v>
      </c>
      <c r="K36" s="76" t="s">
        <v>718</v>
      </c>
      <c r="L36" s="73">
        <f>SUM(L32:L35)</f>
        <v>7</v>
      </c>
      <c r="M36" s="76">
        <v>1.6</v>
      </c>
      <c r="N36" s="76" t="s">
        <v>719</v>
      </c>
      <c r="O36" s="73">
        <f>SUM(O32:O35)</f>
        <v>10</v>
      </c>
      <c r="P36" s="76">
        <v>1.3</v>
      </c>
      <c r="Q36" s="76" t="s">
        <v>1018</v>
      </c>
      <c r="R36" s="73">
        <f>SUM(R32:R35)</f>
        <v>1</v>
      </c>
      <c r="S36" s="76">
        <v>0.1</v>
      </c>
      <c r="T36" s="76" t="s">
        <v>296</v>
      </c>
      <c r="U36" s="73">
        <f>SUM(U32:U35)</f>
        <v>0</v>
      </c>
      <c r="V36" s="76">
        <v>0</v>
      </c>
      <c r="W36" s="76" t="s">
        <v>319</v>
      </c>
    </row>
    <row r="37" spans="1:23" s="8" customFormat="1" ht="15" thickBot="1" x14ac:dyDescent="0.4">
      <c r="A37" s="210" t="s">
        <v>720</v>
      </c>
      <c r="B37" s="73">
        <f>B31+B36</f>
        <v>7616</v>
      </c>
      <c r="C37" s="73">
        <f>C31+C36</f>
        <v>2072</v>
      </c>
      <c r="D37" s="74">
        <v>27.2</v>
      </c>
      <c r="E37" s="74" t="s">
        <v>721</v>
      </c>
      <c r="F37" s="73">
        <f>F31+F36</f>
        <v>1636</v>
      </c>
      <c r="G37" s="74">
        <v>21.5</v>
      </c>
      <c r="H37" s="74" t="s">
        <v>722</v>
      </c>
      <c r="I37" s="73">
        <f>I31+I36</f>
        <v>252</v>
      </c>
      <c r="J37" s="76">
        <v>5.8</v>
      </c>
      <c r="K37" s="76" t="s">
        <v>723</v>
      </c>
      <c r="L37" s="73">
        <f>L31+L36</f>
        <v>33</v>
      </c>
      <c r="M37" s="76">
        <v>0.8</v>
      </c>
      <c r="N37" s="76" t="s">
        <v>724</v>
      </c>
      <c r="O37" s="73">
        <f>O31+O36</f>
        <v>378</v>
      </c>
      <c r="P37" s="74">
        <v>5</v>
      </c>
      <c r="Q37" s="76" t="s">
        <v>725</v>
      </c>
      <c r="R37" s="73">
        <f>R31+R36</f>
        <v>60</v>
      </c>
      <c r="S37" s="74">
        <v>0.8</v>
      </c>
      <c r="T37" s="74" t="s">
        <v>726</v>
      </c>
      <c r="U37" s="73">
        <f>U31+U36</f>
        <v>0</v>
      </c>
      <c r="V37" s="74">
        <v>0</v>
      </c>
      <c r="W37" s="76" t="s">
        <v>310</v>
      </c>
    </row>
    <row r="38" spans="1:23" x14ac:dyDescent="0.35">
      <c r="W38" s="97"/>
    </row>
    <row r="39" spans="1:23" x14ac:dyDescent="0.35">
      <c r="B39" s="175"/>
      <c r="C39" s="245" t="s">
        <v>326</v>
      </c>
      <c r="D39" s="246"/>
      <c r="E39" s="246"/>
      <c r="F39" s="246"/>
      <c r="G39" s="246"/>
      <c r="H39" s="246"/>
      <c r="I39" s="246"/>
      <c r="J39" s="248"/>
      <c r="K39" s="60"/>
      <c r="V39" s="97"/>
    </row>
    <row r="40" spans="1:23" x14ac:dyDescent="0.35">
      <c r="B40" s="165" t="s">
        <v>153</v>
      </c>
      <c r="C40" s="249" t="s">
        <v>154</v>
      </c>
      <c r="D40" s="250"/>
      <c r="E40" s="250"/>
      <c r="F40" s="250"/>
      <c r="G40" s="250"/>
      <c r="H40" s="250"/>
      <c r="I40" s="250"/>
      <c r="J40" s="252"/>
      <c r="K40" s="60"/>
      <c r="V40" s="97"/>
    </row>
    <row r="41" spans="1:23" x14ac:dyDescent="0.35">
      <c r="W41" s="97"/>
    </row>
    <row r="42" spans="1:23" x14ac:dyDescent="0.35">
      <c r="W42" s="97"/>
    </row>
  </sheetData>
  <mergeCells count="11">
    <mergeCell ref="R1:T1"/>
    <mergeCell ref="U1:W1"/>
    <mergeCell ref="C39:J39"/>
    <mergeCell ref="C40:J40"/>
    <mergeCell ref="A1:A2"/>
    <mergeCell ref="B1:B2"/>
    <mergeCell ref="C1:E1"/>
    <mergeCell ref="F1:H1"/>
    <mergeCell ref="I1:K1"/>
    <mergeCell ref="L1:N1"/>
    <mergeCell ref="O1:Q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6">
    <tabColor theme="7" tint="0.59999389629810485"/>
  </sheetPr>
  <dimension ref="A1:W37"/>
  <sheetViews>
    <sheetView zoomScale="80" zoomScaleNormal="80" workbookViewId="0">
      <pane ySplit="2" topLeftCell="A3" activePane="bottomLeft" state="frozen"/>
      <selection pane="bottomLeft" activeCell="D47" sqref="D47"/>
    </sheetView>
  </sheetViews>
  <sheetFormatPr defaultColWidth="10.6328125" defaultRowHeight="14.5" x14ac:dyDescent="0.35"/>
  <cols>
    <col min="1" max="1" width="32.54296875" style="211" customWidth="1"/>
    <col min="3" max="23" width="10.36328125" customWidth="1"/>
  </cols>
  <sheetData>
    <row r="1" spans="1:23" ht="17" thickBot="1" x14ac:dyDescent="0.4">
      <c r="A1" s="256" t="s">
        <v>108</v>
      </c>
      <c r="B1" s="257" t="s">
        <v>155</v>
      </c>
      <c r="C1" s="259" t="s">
        <v>109</v>
      </c>
      <c r="D1" s="259"/>
      <c r="E1" s="259"/>
      <c r="F1" s="260" t="s">
        <v>160</v>
      </c>
      <c r="G1" s="260"/>
      <c r="H1" s="260"/>
      <c r="I1" s="260" t="s">
        <v>161</v>
      </c>
      <c r="J1" s="260"/>
      <c r="K1" s="260"/>
      <c r="L1" s="260" t="s">
        <v>162</v>
      </c>
      <c r="M1" s="260"/>
      <c r="N1" s="260"/>
      <c r="O1" s="261" t="s">
        <v>163</v>
      </c>
      <c r="P1" s="261"/>
      <c r="Q1" s="261"/>
      <c r="R1" s="261" t="s">
        <v>164</v>
      </c>
      <c r="S1" s="261"/>
      <c r="T1" s="261"/>
      <c r="U1" s="261" t="s">
        <v>165</v>
      </c>
      <c r="V1" s="261"/>
      <c r="W1" s="261"/>
    </row>
    <row r="2" spans="1:23" ht="15" thickBot="1" x14ac:dyDescent="0.4">
      <c r="A2" s="238"/>
      <c r="B2" s="258"/>
      <c r="C2" s="135" t="s">
        <v>83</v>
      </c>
      <c r="D2" s="135" t="s">
        <v>175</v>
      </c>
      <c r="E2" s="135" t="s">
        <v>176</v>
      </c>
      <c r="F2" s="135" t="s">
        <v>83</v>
      </c>
      <c r="G2" s="189" t="s">
        <v>175</v>
      </c>
      <c r="H2" s="135" t="s">
        <v>176</v>
      </c>
      <c r="I2" s="135" t="s">
        <v>83</v>
      </c>
      <c r="J2" s="189" t="s">
        <v>175</v>
      </c>
      <c r="K2" s="135" t="s">
        <v>176</v>
      </c>
      <c r="L2" s="135" t="s">
        <v>83</v>
      </c>
      <c r="M2" s="189" t="s">
        <v>175</v>
      </c>
      <c r="N2" s="135" t="s">
        <v>176</v>
      </c>
      <c r="O2" s="135" t="s">
        <v>83</v>
      </c>
      <c r="P2" s="189" t="s">
        <v>175</v>
      </c>
      <c r="Q2" s="135" t="s">
        <v>176</v>
      </c>
      <c r="R2" s="135" t="s">
        <v>83</v>
      </c>
      <c r="S2" s="189" t="s">
        <v>175</v>
      </c>
      <c r="T2" s="135" t="s">
        <v>176</v>
      </c>
      <c r="U2" s="135" t="s">
        <v>83</v>
      </c>
      <c r="V2" s="189" t="s">
        <v>175</v>
      </c>
      <c r="W2" s="135" t="s">
        <v>176</v>
      </c>
    </row>
    <row r="3" spans="1:23" x14ac:dyDescent="0.35">
      <c r="A3" s="193" t="s">
        <v>177</v>
      </c>
      <c r="B3" s="55">
        <v>173</v>
      </c>
      <c r="C3" s="55">
        <v>63</v>
      </c>
      <c r="D3" s="178">
        <v>36.4</v>
      </c>
      <c r="E3" s="55" t="s">
        <v>727</v>
      </c>
      <c r="F3" s="55">
        <v>51</v>
      </c>
      <c r="G3" s="178">
        <v>29.5</v>
      </c>
      <c r="H3" s="55" t="s">
        <v>728</v>
      </c>
      <c r="I3" s="55" t="s">
        <v>119</v>
      </c>
      <c r="J3" s="178" t="s">
        <v>128</v>
      </c>
      <c r="K3" s="55" t="s">
        <v>128</v>
      </c>
      <c r="L3" s="55" t="s">
        <v>119</v>
      </c>
      <c r="M3" s="178" t="s">
        <v>128</v>
      </c>
      <c r="N3" s="55" t="s">
        <v>128</v>
      </c>
      <c r="O3" s="55">
        <v>12</v>
      </c>
      <c r="P3" s="178">
        <v>6.9</v>
      </c>
      <c r="Q3" s="196" t="s">
        <v>729</v>
      </c>
      <c r="R3" s="55">
        <v>0</v>
      </c>
      <c r="S3" s="178">
        <v>0</v>
      </c>
      <c r="T3" s="55" t="s">
        <v>730</v>
      </c>
      <c r="U3" s="55">
        <v>0</v>
      </c>
      <c r="V3" s="178">
        <v>0</v>
      </c>
      <c r="W3" s="55" t="s">
        <v>730</v>
      </c>
    </row>
    <row r="4" spans="1:23" x14ac:dyDescent="0.35">
      <c r="A4" s="193" t="s">
        <v>183</v>
      </c>
      <c r="B4" s="55">
        <v>156</v>
      </c>
      <c r="C4" s="55">
        <v>28</v>
      </c>
      <c r="D4" s="178">
        <v>18</v>
      </c>
      <c r="E4" s="55" t="s">
        <v>731</v>
      </c>
      <c r="F4" s="55">
        <v>23</v>
      </c>
      <c r="G4" s="178">
        <v>14.7</v>
      </c>
      <c r="H4" s="55" t="s">
        <v>732</v>
      </c>
      <c r="I4" s="55" t="s">
        <v>119</v>
      </c>
      <c r="J4" s="178" t="s">
        <v>128</v>
      </c>
      <c r="K4" s="55" t="s">
        <v>128</v>
      </c>
      <c r="L4" s="55" t="s">
        <v>119</v>
      </c>
      <c r="M4" s="178" t="s">
        <v>128</v>
      </c>
      <c r="N4" s="55" t="s">
        <v>128</v>
      </c>
      <c r="O4" s="55">
        <v>5</v>
      </c>
      <c r="P4" s="178">
        <v>3.2</v>
      </c>
      <c r="Q4" s="55" t="s">
        <v>733</v>
      </c>
      <c r="R4" s="55">
        <v>0</v>
      </c>
      <c r="S4" s="178">
        <v>0</v>
      </c>
      <c r="T4" s="55" t="s">
        <v>330</v>
      </c>
      <c r="U4" s="55">
        <v>0</v>
      </c>
      <c r="V4" s="178">
        <v>0</v>
      </c>
      <c r="W4" s="55" t="s">
        <v>330</v>
      </c>
    </row>
    <row r="5" spans="1:23" x14ac:dyDescent="0.35">
      <c r="A5" s="193" t="s">
        <v>118</v>
      </c>
      <c r="B5" s="55">
        <v>149</v>
      </c>
      <c r="C5" s="55">
        <v>22</v>
      </c>
      <c r="D5" s="178">
        <v>14.8</v>
      </c>
      <c r="E5" s="55" t="s">
        <v>734</v>
      </c>
      <c r="F5" s="55">
        <v>21</v>
      </c>
      <c r="G5" s="178">
        <v>14.1</v>
      </c>
      <c r="H5" s="55" t="s">
        <v>735</v>
      </c>
      <c r="I5" s="55">
        <v>12</v>
      </c>
      <c r="J5" s="55">
        <v>8.1</v>
      </c>
      <c r="K5" s="55" t="s">
        <v>736</v>
      </c>
      <c r="L5" s="55">
        <v>0</v>
      </c>
      <c r="M5" s="55">
        <v>0</v>
      </c>
      <c r="N5" s="55" t="s">
        <v>311</v>
      </c>
      <c r="O5" s="55">
        <v>1</v>
      </c>
      <c r="P5" s="178">
        <v>0.7</v>
      </c>
      <c r="Q5" s="55" t="s">
        <v>202</v>
      </c>
      <c r="R5" s="55">
        <v>0</v>
      </c>
      <c r="S5" s="178">
        <v>0</v>
      </c>
      <c r="T5" s="55" t="s">
        <v>311</v>
      </c>
      <c r="U5" s="55">
        <v>0</v>
      </c>
      <c r="V5" s="178">
        <v>0</v>
      </c>
      <c r="W5" s="55" t="s">
        <v>311</v>
      </c>
    </row>
    <row r="6" spans="1:23" x14ac:dyDescent="0.35">
      <c r="A6" s="193" t="s">
        <v>120</v>
      </c>
      <c r="B6" s="55">
        <v>117</v>
      </c>
      <c r="C6" s="55">
        <v>15</v>
      </c>
      <c r="D6" s="178">
        <v>12.8</v>
      </c>
      <c r="E6" s="197" t="s">
        <v>737</v>
      </c>
      <c r="F6" s="55">
        <v>15</v>
      </c>
      <c r="G6" s="178">
        <v>12.8</v>
      </c>
      <c r="H6" s="55" t="s">
        <v>737</v>
      </c>
      <c r="I6" s="55">
        <v>5</v>
      </c>
      <c r="J6" s="55">
        <v>4.3</v>
      </c>
      <c r="K6" s="55" t="s">
        <v>738</v>
      </c>
      <c r="L6" s="55">
        <v>0</v>
      </c>
      <c r="M6" s="55">
        <v>0</v>
      </c>
      <c r="N6" s="55" t="s">
        <v>739</v>
      </c>
      <c r="O6" s="55">
        <v>0</v>
      </c>
      <c r="P6" s="178">
        <v>0</v>
      </c>
      <c r="Q6" s="55" t="s">
        <v>739</v>
      </c>
      <c r="R6" s="55">
        <v>0</v>
      </c>
      <c r="S6" s="178">
        <v>0</v>
      </c>
      <c r="T6" s="55" t="s">
        <v>739</v>
      </c>
      <c r="U6" s="55">
        <v>0</v>
      </c>
      <c r="V6" s="178">
        <v>0</v>
      </c>
      <c r="W6" s="55" t="s">
        <v>739</v>
      </c>
    </row>
    <row r="7" spans="1:23" x14ac:dyDescent="0.35">
      <c r="A7" s="193" t="s">
        <v>204</v>
      </c>
      <c r="B7" s="55">
        <v>158</v>
      </c>
      <c r="C7" s="55">
        <v>21</v>
      </c>
      <c r="D7" s="178">
        <v>13.3</v>
      </c>
      <c r="E7" s="55" t="s">
        <v>740</v>
      </c>
      <c r="F7" s="55">
        <v>21</v>
      </c>
      <c r="G7" s="178">
        <v>13.3</v>
      </c>
      <c r="H7" s="55" t="s">
        <v>740</v>
      </c>
      <c r="I7" s="55" t="s">
        <v>119</v>
      </c>
      <c r="J7" s="55" t="s">
        <v>128</v>
      </c>
      <c r="K7" s="55" t="s">
        <v>128</v>
      </c>
      <c r="L7" s="55" t="s">
        <v>119</v>
      </c>
      <c r="M7" s="55" t="s">
        <v>128</v>
      </c>
      <c r="N7" s="55" t="s">
        <v>128</v>
      </c>
      <c r="O7" s="55">
        <v>0</v>
      </c>
      <c r="P7" s="178">
        <v>0</v>
      </c>
      <c r="Q7" s="55" t="s">
        <v>330</v>
      </c>
      <c r="R7" s="55">
        <v>0</v>
      </c>
      <c r="S7" s="178">
        <v>0</v>
      </c>
      <c r="T7" s="55" t="s">
        <v>330</v>
      </c>
      <c r="U7" s="55">
        <v>0</v>
      </c>
      <c r="V7" s="178">
        <v>0</v>
      </c>
      <c r="W7" s="55" t="s">
        <v>330</v>
      </c>
    </row>
    <row r="8" spans="1:23" x14ac:dyDescent="0.35">
      <c r="A8" s="193" t="s">
        <v>123</v>
      </c>
      <c r="B8" s="55">
        <v>137</v>
      </c>
      <c r="C8" s="55">
        <v>48</v>
      </c>
      <c r="D8" s="178">
        <v>35</v>
      </c>
      <c r="E8" s="55" t="s">
        <v>741</v>
      </c>
      <c r="F8" s="55">
        <v>37</v>
      </c>
      <c r="G8" s="178">
        <v>27</v>
      </c>
      <c r="H8" s="55" t="s">
        <v>742</v>
      </c>
      <c r="I8" s="55">
        <v>3</v>
      </c>
      <c r="J8" s="55">
        <v>2.2000000000000002</v>
      </c>
      <c r="K8" s="55" t="s">
        <v>743</v>
      </c>
      <c r="L8" s="55">
        <v>0</v>
      </c>
      <c r="M8" s="55">
        <v>0</v>
      </c>
      <c r="N8" s="55" t="s">
        <v>709</v>
      </c>
      <c r="O8" s="55">
        <v>6</v>
      </c>
      <c r="P8" s="178">
        <v>4.4000000000000004</v>
      </c>
      <c r="Q8" s="55" t="s">
        <v>744</v>
      </c>
      <c r="R8" s="55">
        <v>5</v>
      </c>
      <c r="S8" s="178">
        <v>3.7</v>
      </c>
      <c r="T8" s="55" t="s">
        <v>745</v>
      </c>
      <c r="U8" s="55">
        <v>0</v>
      </c>
      <c r="V8" s="178">
        <v>0</v>
      </c>
      <c r="W8" s="55" t="s">
        <v>709</v>
      </c>
    </row>
    <row r="9" spans="1:23" x14ac:dyDescent="0.35">
      <c r="A9" s="193" t="s">
        <v>124</v>
      </c>
      <c r="B9" s="55">
        <v>143</v>
      </c>
      <c r="C9" s="55">
        <v>43</v>
      </c>
      <c r="D9" s="178">
        <v>30.1</v>
      </c>
      <c r="E9" s="55" t="s">
        <v>746</v>
      </c>
      <c r="F9" s="55">
        <v>36</v>
      </c>
      <c r="G9" s="178">
        <v>25.2</v>
      </c>
      <c r="H9" s="55" t="s">
        <v>747</v>
      </c>
      <c r="I9" s="55">
        <v>9</v>
      </c>
      <c r="J9" s="55">
        <v>6.3</v>
      </c>
      <c r="K9" s="55" t="s">
        <v>748</v>
      </c>
      <c r="L9" s="55">
        <v>0</v>
      </c>
      <c r="M9" s="55">
        <v>0</v>
      </c>
      <c r="N9" s="55" t="s">
        <v>749</v>
      </c>
      <c r="O9" s="55">
        <v>3</v>
      </c>
      <c r="P9" s="178">
        <v>2.1</v>
      </c>
      <c r="Q9" s="55" t="s">
        <v>750</v>
      </c>
      <c r="R9" s="55">
        <v>4</v>
      </c>
      <c r="S9" s="178">
        <v>2.8</v>
      </c>
      <c r="T9" s="55" t="s">
        <v>751</v>
      </c>
      <c r="U9" s="55">
        <v>0</v>
      </c>
      <c r="V9" s="178">
        <v>0</v>
      </c>
      <c r="W9" s="55" t="s">
        <v>749</v>
      </c>
    </row>
    <row r="10" spans="1:23" x14ac:dyDescent="0.35">
      <c r="A10" s="195" t="s">
        <v>125</v>
      </c>
      <c r="B10" s="184">
        <v>130</v>
      </c>
      <c r="C10" s="184">
        <v>0</v>
      </c>
      <c r="D10" s="177">
        <v>0</v>
      </c>
      <c r="E10" s="184" t="s">
        <v>363</v>
      </c>
      <c r="F10" s="184">
        <v>0</v>
      </c>
      <c r="G10" s="177">
        <v>0</v>
      </c>
      <c r="H10" s="184" t="s">
        <v>363</v>
      </c>
      <c r="I10" s="184">
        <v>0</v>
      </c>
      <c r="J10" s="184">
        <v>0</v>
      </c>
      <c r="K10" s="184" t="s">
        <v>363</v>
      </c>
      <c r="L10" s="184">
        <v>0</v>
      </c>
      <c r="M10" s="184">
        <v>0</v>
      </c>
      <c r="N10" s="184" t="s">
        <v>363</v>
      </c>
      <c r="O10" s="184">
        <v>0</v>
      </c>
      <c r="P10" s="177">
        <v>0</v>
      </c>
      <c r="Q10" s="184" t="s">
        <v>363</v>
      </c>
      <c r="R10" s="184">
        <v>0</v>
      </c>
      <c r="S10" s="177">
        <v>0</v>
      </c>
      <c r="T10" s="184" t="s">
        <v>363</v>
      </c>
      <c r="U10" s="184">
        <v>0</v>
      </c>
      <c r="V10" s="177">
        <v>0</v>
      </c>
      <c r="W10" s="184" t="s">
        <v>363</v>
      </c>
    </row>
    <row r="11" spans="1:23" x14ac:dyDescent="0.35">
      <c r="A11" s="193" t="s">
        <v>126</v>
      </c>
      <c r="B11" s="55">
        <v>255</v>
      </c>
      <c r="C11" s="55">
        <v>24</v>
      </c>
      <c r="D11" s="178">
        <v>9.4</v>
      </c>
      <c r="E11" s="55" t="s">
        <v>752</v>
      </c>
      <c r="F11" s="55">
        <v>21</v>
      </c>
      <c r="G11" s="178">
        <v>8.1999999999999993</v>
      </c>
      <c r="H11" s="55" t="s">
        <v>753</v>
      </c>
      <c r="I11" s="55">
        <v>2</v>
      </c>
      <c r="J11" s="55">
        <v>0.8</v>
      </c>
      <c r="K11" s="55" t="s">
        <v>754</v>
      </c>
      <c r="L11" s="55">
        <v>3</v>
      </c>
      <c r="M11" s="55">
        <v>1.2</v>
      </c>
      <c r="N11" s="55" t="s">
        <v>755</v>
      </c>
      <c r="O11" s="55">
        <v>3</v>
      </c>
      <c r="P11" s="178">
        <v>1.2</v>
      </c>
      <c r="Q11" s="55" t="s">
        <v>755</v>
      </c>
      <c r="R11" s="55">
        <v>0</v>
      </c>
      <c r="S11" s="178">
        <v>0</v>
      </c>
      <c r="T11" s="55" t="s">
        <v>301</v>
      </c>
      <c r="U11" s="55">
        <v>0</v>
      </c>
      <c r="V11" s="178">
        <v>0</v>
      </c>
      <c r="W11" s="55" t="s">
        <v>301</v>
      </c>
    </row>
    <row r="12" spans="1:23" x14ac:dyDescent="0.35">
      <c r="A12" s="193" t="s">
        <v>127</v>
      </c>
      <c r="B12" s="55">
        <v>353</v>
      </c>
      <c r="C12" s="55">
        <v>98</v>
      </c>
      <c r="D12" s="178">
        <v>29.2</v>
      </c>
      <c r="E12" s="55" t="s">
        <v>756</v>
      </c>
      <c r="F12" s="55">
        <v>84</v>
      </c>
      <c r="G12" s="178">
        <v>25</v>
      </c>
      <c r="H12" s="55" t="s">
        <v>757</v>
      </c>
      <c r="I12" s="55" t="s">
        <v>119</v>
      </c>
      <c r="J12" s="55" t="s">
        <v>128</v>
      </c>
      <c r="K12" s="55" t="s">
        <v>128</v>
      </c>
      <c r="L12" s="55" t="s">
        <v>119</v>
      </c>
      <c r="M12" s="55" t="s">
        <v>128</v>
      </c>
      <c r="N12" s="55" t="s">
        <v>128</v>
      </c>
      <c r="O12" s="55">
        <v>14</v>
      </c>
      <c r="P12" s="178">
        <v>4.2</v>
      </c>
      <c r="Q12" s="55" t="s">
        <v>758</v>
      </c>
      <c r="R12" s="55">
        <v>0</v>
      </c>
      <c r="S12" s="178">
        <v>0</v>
      </c>
      <c r="T12" s="55" t="s">
        <v>271</v>
      </c>
      <c r="U12" s="55">
        <v>0</v>
      </c>
      <c r="V12" s="178">
        <v>0</v>
      </c>
      <c r="W12" s="55" t="s">
        <v>271</v>
      </c>
    </row>
    <row r="13" spans="1:23" x14ac:dyDescent="0.35">
      <c r="A13" s="193" t="s">
        <v>129</v>
      </c>
      <c r="B13" s="55">
        <v>43</v>
      </c>
      <c r="C13" s="55">
        <v>17</v>
      </c>
      <c r="D13" s="178">
        <v>39.5</v>
      </c>
      <c r="E13" s="55" t="s">
        <v>759</v>
      </c>
      <c r="F13" s="55">
        <v>15</v>
      </c>
      <c r="G13" s="178">
        <v>34.9</v>
      </c>
      <c r="H13" s="55" t="s">
        <v>760</v>
      </c>
      <c r="I13" s="55">
        <v>3</v>
      </c>
      <c r="J13" s="55">
        <v>7</v>
      </c>
      <c r="K13" s="55" t="s">
        <v>761</v>
      </c>
      <c r="L13" s="55">
        <v>0</v>
      </c>
      <c r="M13" s="55">
        <v>0</v>
      </c>
      <c r="N13" s="55" t="s">
        <v>762</v>
      </c>
      <c r="O13" s="55">
        <v>1</v>
      </c>
      <c r="P13" s="178">
        <v>2.2999999999999998</v>
      </c>
      <c r="Q13" s="55" t="s">
        <v>763</v>
      </c>
      <c r="R13" s="55">
        <v>1</v>
      </c>
      <c r="S13" s="178">
        <v>2.2999999999999998</v>
      </c>
      <c r="T13" s="55" t="s">
        <v>763</v>
      </c>
      <c r="U13" s="55">
        <v>0</v>
      </c>
      <c r="V13" s="178">
        <v>0</v>
      </c>
      <c r="W13" s="55" t="s">
        <v>762</v>
      </c>
    </row>
    <row r="14" spans="1:23" x14ac:dyDescent="0.35">
      <c r="A14" s="193" t="s">
        <v>130</v>
      </c>
      <c r="B14" s="55">
        <v>180</v>
      </c>
      <c r="C14" s="55">
        <v>38</v>
      </c>
      <c r="D14" s="178">
        <v>21.1</v>
      </c>
      <c r="E14" s="55" t="s">
        <v>764</v>
      </c>
      <c r="F14" s="55">
        <v>34</v>
      </c>
      <c r="G14" s="178">
        <v>18.899999999999999</v>
      </c>
      <c r="H14" s="55" t="s">
        <v>765</v>
      </c>
      <c r="I14" s="55">
        <v>9</v>
      </c>
      <c r="J14" s="55">
        <v>5</v>
      </c>
      <c r="K14" s="55" t="s">
        <v>766</v>
      </c>
      <c r="L14" s="55">
        <v>1</v>
      </c>
      <c r="M14" s="55">
        <v>0.6</v>
      </c>
      <c r="N14" s="55" t="s">
        <v>739</v>
      </c>
      <c r="O14" s="55">
        <v>4</v>
      </c>
      <c r="P14" s="178">
        <v>2.2000000000000002</v>
      </c>
      <c r="Q14" s="55" t="s">
        <v>767</v>
      </c>
      <c r="R14" s="55">
        <v>0</v>
      </c>
      <c r="S14" s="178">
        <v>0</v>
      </c>
      <c r="T14" s="55" t="s">
        <v>681</v>
      </c>
      <c r="U14" s="55">
        <v>0</v>
      </c>
      <c r="V14" s="178">
        <v>0</v>
      </c>
      <c r="W14" s="55" t="s">
        <v>681</v>
      </c>
    </row>
    <row r="15" spans="1:23" x14ac:dyDescent="0.35">
      <c r="A15" s="193" t="s">
        <v>131</v>
      </c>
      <c r="B15" s="55">
        <v>150</v>
      </c>
      <c r="C15" s="55">
        <v>28</v>
      </c>
      <c r="D15" s="178">
        <v>18.7</v>
      </c>
      <c r="E15" s="55" t="s">
        <v>768</v>
      </c>
      <c r="F15" s="55">
        <v>25</v>
      </c>
      <c r="G15" s="178">
        <v>16.7</v>
      </c>
      <c r="H15" s="55" t="s">
        <v>769</v>
      </c>
      <c r="I15" s="55">
        <v>8</v>
      </c>
      <c r="J15" s="55">
        <v>5.3</v>
      </c>
      <c r="K15" s="55" t="s">
        <v>770</v>
      </c>
      <c r="L15" s="55">
        <v>1</v>
      </c>
      <c r="M15" s="55">
        <v>0.7</v>
      </c>
      <c r="N15" s="55" t="s">
        <v>202</v>
      </c>
      <c r="O15" s="55">
        <v>3</v>
      </c>
      <c r="P15" s="178">
        <v>2</v>
      </c>
      <c r="Q15" s="55" t="s">
        <v>771</v>
      </c>
      <c r="R15" s="55">
        <v>0</v>
      </c>
      <c r="S15" s="178">
        <v>0</v>
      </c>
      <c r="T15" s="55" t="s">
        <v>201</v>
      </c>
      <c r="U15" s="55">
        <v>0</v>
      </c>
      <c r="V15" s="178">
        <v>0</v>
      </c>
      <c r="W15" s="55" t="s">
        <v>201</v>
      </c>
    </row>
    <row r="16" spans="1:23" x14ac:dyDescent="0.35">
      <c r="A16" s="193" t="s">
        <v>157</v>
      </c>
      <c r="B16" s="55">
        <v>305</v>
      </c>
      <c r="C16" s="55">
        <v>69</v>
      </c>
      <c r="D16" s="178">
        <v>22.6</v>
      </c>
      <c r="E16" s="55" t="s">
        <v>772</v>
      </c>
      <c r="F16" s="55">
        <v>65</v>
      </c>
      <c r="G16" s="178">
        <v>21.3</v>
      </c>
      <c r="H16" s="55" t="s">
        <v>773</v>
      </c>
      <c r="I16" s="55" t="s">
        <v>119</v>
      </c>
      <c r="J16" s="55" t="s">
        <v>128</v>
      </c>
      <c r="K16" s="55" t="s">
        <v>128</v>
      </c>
      <c r="L16" s="55" t="s">
        <v>119</v>
      </c>
      <c r="M16" s="55" t="s">
        <v>128</v>
      </c>
      <c r="N16" s="55" t="s">
        <v>128</v>
      </c>
      <c r="O16" s="55">
        <v>4</v>
      </c>
      <c r="P16" s="178">
        <v>1.3</v>
      </c>
      <c r="Q16" s="55" t="s">
        <v>774</v>
      </c>
      <c r="R16" s="55">
        <v>0</v>
      </c>
      <c r="S16" s="178">
        <v>0</v>
      </c>
      <c r="T16" s="55" t="s">
        <v>181</v>
      </c>
      <c r="U16" s="55">
        <v>0</v>
      </c>
      <c r="V16" s="178">
        <v>0</v>
      </c>
      <c r="W16" s="55" t="s">
        <v>181</v>
      </c>
    </row>
    <row r="17" spans="1:23" x14ac:dyDescent="0.35">
      <c r="A17" s="193" t="s">
        <v>133</v>
      </c>
      <c r="B17" s="55">
        <v>146</v>
      </c>
      <c r="C17" s="55">
        <v>35</v>
      </c>
      <c r="D17" s="178">
        <v>24</v>
      </c>
      <c r="E17" s="55" t="s">
        <v>775</v>
      </c>
      <c r="F17" s="55">
        <v>32</v>
      </c>
      <c r="G17" s="178">
        <v>21.9</v>
      </c>
      <c r="H17" s="55" t="s">
        <v>776</v>
      </c>
      <c r="I17" s="55">
        <v>9</v>
      </c>
      <c r="J17" s="55">
        <v>6.2</v>
      </c>
      <c r="K17" s="55" t="s">
        <v>777</v>
      </c>
      <c r="L17" s="55">
        <v>0</v>
      </c>
      <c r="M17" s="55">
        <v>0</v>
      </c>
      <c r="N17" s="55" t="s">
        <v>311</v>
      </c>
      <c r="O17" s="55">
        <v>3</v>
      </c>
      <c r="P17" s="178">
        <v>2.1</v>
      </c>
      <c r="Q17" s="55" t="s">
        <v>778</v>
      </c>
      <c r="R17" s="55">
        <v>0</v>
      </c>
      <c r="S17" s="178">
        <v>0</v>
      </c>
      <c r="T17" s="55" t="s">
        <v>311</v>
      </c>
      <c r="U17" s="55">
        <v>0</v>
      </c>
      <c r="V17" s="178">
        <v>0</v>
      </c>
      <c r="W17" s="55" t="s">
        <v>311</v>
      </c>
    </row>
    <row r="18" spans="1:23" x14ac:dyDescent="0.35">
      <c r="A18" s="193" t="s">
        <v>134</v>
      </c>
      <c r="B18" s="55">
        <v>150</v>
      </c>
      <c r="C18" s="55">
        <v>30</v>
      </c>
      <c r="D18" s="178">
        <v>20</v>
      </c>
      <c r="E18" s="55" t="s">
        <v>779</v>
      </c>
      <c r="F18" s="55">
        <v>22</v>
      </c>
      <c r="G18" s="178">
        <v>14.7</v>
      </c>
      <c r="H18" s="55" t="s">
        <v>780</v>
      </c>
      <c r="I18" s="55">
        <v>5</v>
      </c>
      <c r="J18" s="55">
        <v>3.3</v>
      </c>
      <c r="K18" s="55" t="s">
        <v>662</v>
      </c>
      <c r="L18" s="55">
        <v>1</v>
      </c>
      <c r="M18" s="55">
        <v>0.7</v>
      </c>
      <c r="N18" s="55" t="s">
        <v>202</v>
      </c>
      <c r="O18" s="55">
        <v>2</v>
      </c>
      <c r="P18" s="178">
        <v>1.3</v>
      </c>
      <c r="Q18" s="55" t="s">
        <v>203</v>
      </c>
      <c r="R18" s="55">
        <v>6</v>
      </c>
      <c r="S18" s="178">
        <v>4</v>
      </c>
      <c r="T18" s="55" t="s">
        <v>254</v>
      </c>
      <c r="U18" s="55">
        <v>0</v>
      </c>
      <c r="V18" s="178">
        <v>0</v>
      </c>
      <c r="W18" s="55" t="s">
        <v>201</v>
      </c>
    </row>
    <row r="19" spans="1:23" x14ac:dyDescent="0.35">
      <c r="A19" s="193" t="s">
        <v>135</v>
      </c>
      <c r="B19" s="55">
        <v>42</v>
      </c>
      <c r="C19" s="55">
        <v>5</v>
      </c>
      <c r="D19" s="178">
        <v>11.9</v>
      </c>
      <c r="E19" s="197" t="s">
        <v>781</v>
      </c>
      <c r="F19" s="55">
        <v>4</v>
      </c>
      <c r="G19" s="178">
        <v>9.5</v>
      </c>
      <c r="H19" s="55" t="s">
        <v>782</v>
      </c>
      <c r="I19" s="55">
        <v>0</v>
      </c>
      <c r="J19" s="55">
        <v>0</v>
      </c>
      <c r="K19" s="55" t="s">
        <v>783</v>
      </c>
      <c r="L19" s="55">
        <v>0</v>
      </c>
      <c r="M19" s="55">
        <v>0</v>
      </c>
      <c r="N19" s="55" t="s">
        <v>783</v>
      </c>
      <c r="O19" s="55">
        <v>1</v>
      </c>
      <c r="P19" s="178">
        <v>2.4</v>
      </c>
      <c r="Q19" s="55" t="s">
        <v>784</v>
      </c>
      <c r="R19" s="55">
        <v>0</v>
      </c>
      <c r="S19" s="178">
        <v>0</v>
      </c>
      <c r="T19" s="55" t="s">
        <v>783</v>
      </c>
      <c r="U19" s="55">
        <v>0</v>
      </c>
      <c r="V19" s="178">
        <v>0</v>
      </c>
      <c r="W19" s="55" t="s">
        <v>783</v>
      </c>
    </row>
    <row r="20" spans="1:23" x14ac:dyDescent="0.35">
      <c r="A20" s="193" t="s">
        <v>136</v>
      </c>
      <c r="B20" s="198">
        <v>150</v>
      </c>
      <c r="C20" s="55">
        <v>17</v>
      </c>
      <c r="D20" s="178">
        <v>11.3</v>
      </c>
      <c r="E20" s="55" t="s">
        <v>785</v>
      </c>
      <c r="F20" s="55">
        <v>17</v>
      </c>
      <c r="G20" s="178">
        <v>11.3</v>
      </c>
      <c r="H20" s="55" t="s">
        <v>785</v>
      </c>
      <c r="I20" s="55">
        <v>1</v>
      </c>
      <c r="J20" s="55">
        <v>0.7</v>
      </c>
      <c r="K20" s="55" t="s">
        <v>202</v>
      </c>
      <c r="L20" s="55">
        <v>0</v>
      </c>
      <c r="M20" s="55">
        <v>0</v>
      </c>
      <c r="N20" s="55" t="s">
        <v>201</v>
      </c>
      <c r="O20" s="55">
        <v>0</v>
      </c>
      <c r="P20" s="178">
        <v>0</v>
      </c>
      <c r="Q20" s="55" t="s">
        <v>201</v>
      </c>
      <c r="R20" s="55">
        <v>0</v>
      </c>
      <c r="S20" s="178">
        <v>0</v>
      </c>
      <c r="T20" s="55" t="s">
        <v>201</v>
      </c>
      <c r="U20" s="55">
        <v>0</v>
      </c>
      <c r="V20" s="178">
        <v>0</v>
      </c>
      <c r="W20" s="55" t="s">
        <v>201</v>
      </c>
    </row>
    <row r="21" spans="1:23" x14ac:dyDescent="0.35">
      <c r="A21" s="193" t="s">
        <v>786</v>
      </c>
      <c r="B21" s="55">
        <v>21</v>
      </c>
      <c r="C21" s="55">
        <v>3</v>
      </c>
      <c r="D21" s="178">
        <v>14.3</v>
      </c>
      <c r="E21" s="55" t="s">
        <v>787</v>
      </c>
      <c r="F21" s="55">
        <v>3</v>
      </c>
      <c r="G21" s="178">
        <v>14.3</v>
      </c>
      <c r="H21" s="55" t="s">
        <v>787</v>
      </c>
      <c r="I21" s="55" t="s">
        <v>119</v>
      </c>
      <c r="J21" s="55" t="s">
        <v>119</v>
      </c>
      <c r="K21" s="55" t="s">
        <v>119</v>
      </c>
      <c r="L21" s="55" t="s">
        <v>119</v>
      </c>
      <c r="M21" s="55" t="s">
        <v>119</v>
      </c>
      <c r="N21" s="55" t="s">
        <v>119</v>
      </c>
      <c r="O21" s="55">
        <v>0</v>
      </c>
      <c r="P21" s="178">
        <v>0</v>
      </c>
      <c r="Q21" s="55" t="s">
        <v>788</v>
      </c>
      <c r="R21" s="55">
        <v>0</v>
      </c>
      <c r="S21" s="178">
        <v>0</v>
      </c>
      <c r="T21" s="55" t="s">
        <v>788</v>
      </c>
      <c r="U21" s="55">
        <v>0</v>
      </c>
      <c r="V21" s="178">
        <v>0</v>
      </c>
      <c r="W21" s="55" t="s">
        <v>788</v>
      </c>
    </row>
    <row r="22" spans="1:23" x14ac:dyDescent="0.35">
      <c r="A22" s="193" t="s">
        <v>138</v>
      </c>
      <c r="B22" s="55">
        <v>315</v>
      </c>
      <c r="C22" s="55">
        <v>61</v>
      </c>
      <c r="D22" s="178">
        <v>19.399999999999999</v>
      </c>
      <c r="E22" s="55" t="s">
        <v>789</v>
      </c>
      <c r="F22" s="55">
        <v>55</v>
      </c>
      <c r="G22" s="178">
        <v>17.5</v>
      </c>
      <c r="H22" s="55" t="s">
        <v>790</v>
      </c>
      <c r="I22" s="55">
        <v>5</v>
      </c>
      <c r="J22" s="55">
        <v>1.6</v>
      </c>
      <c r="K22" s="55" t="s">
        <v>186</v>
      </c>
      <c r="L22" s="55">
        <v>1</v>
      </c>
      <c r="M22" s="55">
        <v>0.3</v>
      </c>
      <c r="N22" s="55" t="s">
        <v>182</v>
      </c>
      <c r="O22" s="55">
        <v>5</v>
      </c>
      <c r="P22" s="178">
        <v>1.6</v>
      </c>
      <c r="Q22" s="55" t="s">
        <v>186</v>
      </c>
      <c r="R22" s="55">
        <v>1</v>
      </c>
      <c r="S22" s="178">
        <v>0.3</v>
      </c>
      <c r="T22" s="55" t="s">
        <v>182</v>
      </c>
      <c r="U22" s="55">
        <v>0</v>
      </c>
      <c r="V22" s="178">
        <v>0</v>
      </c>
      <c r="W22" s="55" t="s">
        <v>181</v>
      </c>
    </row>
    <row r="23" spans="1:23" x14ac:dyDescent="0.35">
      <c r="A23" s="193" t="s">
        <v>139</v>
      </c>
      <c r="B23" s="55">
        <v>252</v>
      </c>
      <c r="C23" s="55">
        <v>113</v>
      </c>
      <c r="D23" s="178">
        <v>45.2</v>
      </c>
      <c r="E23" s="55" t="s">
        <v>791</v>
      </c>
      <c r="F23" s="55">
        <v>99</v>
      </c>
      <c r="G23" s="178">
        <v>39.6</v>
      </c>
      <c r="H23" s="55" t="s">
        <v>792</v>
      </c>
      <c r="I23" s="55">
        <v>9</v>
      </c>
      <c r="J23" s="55">
        <v>3.6</v>
      </c>
      <c r="K23" s="55" t="s">
        <v>793</v>
      </c>
      <c r="L23" s="55">
        <v>1</v>
      </c>
      <c r="M23" s="55">
        <v>0.4</v>
      </c>
      <c r="N23" s="55" t="s">
        <v>264</v>
      </c>
      <c r="O23" s="55">
        <v>7</v>
      </c>
      <c r="P23" s="178">
        <v>2.8</v>
      </c>
      <c r="Q23" s="55" t="s">
        <v>794</v>
      </c>
      <c r="R23" s="55">
        <v>7</v>
      </c>
      <c r="S23" s="178">
        <v>2.8</v>
      </c>
      <c r="T23" s="55" t="s">
        <v>794</v>
      </c>
      <c r="U23" s="55">
        <v>0</v>
      </c>
      <c r="V23" s="178">
        <v>0</v>
      </c>
      <c r="W23" s="55" t="s">
        <v>795</v>
      </c>
    </row>
    <row r="24" spans="1:23" x14ac:dyDescent="0.35">
      <c r="A24" s="193" t="s">
        <v>140</v>
      </c>
      <c r="B24" s="55">
        <v>148</v>
      </c>
      <c r="C24" s="55">
        <v>38</v>
      </c>
      <c r="D24" s="178">
        <v>25.7</v>
      </c>
      <c r="E24" s="55" t="s">
        <v>796</v>
      </c>
      <c r="F24" s="55">
        <v>34</v>
      </c>
      <c r="G24" s="178">
        <v>23</v>
      </c>
      <c r="H24" s="55" t="s">
        <v>797</v>
      </c>
      <c r="I24" s="55">
        <v>1</v>
      </c>
      <c r="J24" s="55">
        <v>0.7</v>
      </c>
      <c r="K24" s="55" t="s">
        <v>202</v>
      </c>
      <c r="L24" s="55">
        <v>0</v>
      </c>
      <c r="M24" s="55">
        <v>0</v>
      </c>
      <c r="N24" s="55" t="s">
        <v>311</v>
      </c>
      <c r="O24" s="55">
        <v>3</v>
      </c>
      <c r="P24" s="178">
        <v>2</v>
      </c>
      <c r="Q24" s="55" t="s">
        <v>798</v>
      </c>
      <c r="R24" s="55">
        <v>1</v>
      </c>
      <c r="S24" s="178">
        <v>0.7</v>
      </c>
      <c r="T24" s="55" t="s">
        <v>202</v>
      </c>
      <c r="U24" s="55">
        <v>0</v>
      </c>
      <c r="V24" s="178">
        <v>0</v>
      </c>
      <c r="W24" s="55" t="s">
        <v>311</v>
      </c>
    </row>
    <row r="25" spans="1:23" x14ac:dyDescent="0.35">
      <c r="A25" s="193" t="s">
        <v>141</v>
      </c>
      <c r="B25" s="55">
        <v>150</v>
      </c>
      <c r="C25" s="55">
        <v>58</v>
      </c>
      <c r="D25" s="178">
        <v>39.299999999999997</v>
      </c>
      <c r="E25" s="55" t="s">
        <v>799</v>
      </c>
      <c r="F25" s="55">
        <v>44</v>
      </c>
      <c r="G25" s="178">
        <v>29.8</v>
      </c>
      <c r="H25" s="55" t="s">
        <v>800</v>
      </c>
      <c r="I25" s="55">
        <v>16</v>
      </c>
      <c r="J25" s="55">
        <v>10.9</v>
      </c>
      <c r="K25" s="55" t="s">
        <v>801</v>
      </c>
      <c r="L25" s="55">
        <v>1</v>
      </c>
      <c r="M25" s="55">
        <v>0.7</v>
      </c>
      <c r="N25" s="55" t="s">
        <v>202</v>
      </c>
      <c r="O25" s="55">
        <v>14</v>
      </c>
      <c r="P25" s="178">
        <v>9.5</v>
      </c>
      <c r="Q25" s="55" t="s">
        <v>802</v>
      </c>
      <c r="R25" s="55">
        <v>0</v>
      </c>
      <c r="S25" s="178">
        <v>0</v>
      </c>
      <c r="T25" s="55" t="s">
        <v>201</v>
      </c>
      <c r="U25" s="55">
        <v>0</v>
      </c>
      <c r="V25" s="178">
        <v>0</v>
      </c>
      <c r="W25" s="55" t="s">
        <v>201</v>
      </c>
    </row>
    <row r="26" spans="1:23" x14ac:dyDescent="0.35">
      <c r="A26" s="193" t="s">
        <v>142</v>
      </c>
      <c r="B26" s="55">
        <v>153</v>
      </c>
      <c r="C26" s="55">
        <v>59</v>
      </c>
      <c r="D26" s="178">
        <v>38.6</v>
      </c>
      <c r="E26" s="55" t="s">
        <v>655</v>
      </c>
      <c r="F26" s="55">
        <v>53</v>
      </c>
      <c r="G26" s="178">
        <v>34.6</v>
      </c>
      <c r="H26" s="55" t="s">
        <v>803</v>
      </c>
      <c r="I26" s="55">
        <v>7</v>
      </c>
      <c r="J26" s="55">
        <v>4.5999999999999996</v>
      </c>
      <c r="K26" s="55" t="s">
        <v>804</v>
      </c>
      <c r="L26" s="55">
        <v>1</v>
      </c>
      <c r="M26" s="55">
        <v>0.7</v>
      </c>
      <c r="N26" s="55" t="s">
        <v>618</v>
      </c>
      <c r="O26" s="55">
        <v>4</v>
      </c>
      <c r="P26" s="178">
        <v>2.6</v>
      </c>
      <c r="Q26" s="55" t="s">
        <v>216</v>
      </c>
      <c r="R26" s="55">
        <v>2</v>
      </c>
      <c r="S26" s="178">
        <v>1.3</v>
      </c>
      <c r="T26" s="55" t="s">
        <v>671</v>
      </c>
      <c r="U26" s="55">
        <v>0</v>
      </c>
      <c r="V26" s="178">
        <v>0</v>
      </c>
      <c r="W26" s="55" t="s">
        <v>201</v>
      </c>
    </row>
    <row r="27" spans="1:23" x14ac:dyDescent="0.35">
      <c r="A27" s="193" t="s">
        <v>143</v>
      </c>
      <c r="B27" s="55">
        <v>150</v>
      </c>
      <c r="C27" s="55">
        <v>76</v>
      </c>
      <c r="D27" s="178">
        <v>53.3</v>
      </c>
      <c r="E27" s="55" t="s">
        <v>632</v>
      </c>
      <c r="F27" s="55">
        <v>72</v>
      </c>
      <c r="G27" s="178">
        <v>50.5</v>
      </c>
      <c r="H27" s="55" t="s">
        <v>364</v>
      </c>
      <c r="I27" s="55">
        <v>2</v>
      </c>
      <c r="J27" s="55">
        <v>1.4</v>
      </c>
      <c r="K27" s="55" t="s">
        <v>203</v>
      </c>
      <c r="L27" s="55">
        <v>1</v>
      </c>
      <c r="M27" s="55">
        <v>0.7</v>
      </c>
      <c r="N27" s="55" t="s">
        <v>202</v>
      </c>
      <c r="O27" s="55">
        <v>1</v>
      </c>
      <c r="P27" s="178">
        <v>0.7</v>
      </c>
      <c r="Q27" s="55" t="s">
        <v>202</v>
      </c>
      <c r="R27" s="55">
        <v>3</v>
      </c>
      <c r="S27" s="178">
        <v>2.1</v>
      </c>
      <c r="T27" s="55" t="s">
        <v>771</v>
      </c>
      <c r="U27" s="55">
        <v>0</v>
      </c>
      <c r="V27" s="178">
        <v>0</v>
      </c>
      <c r="W27" s="55" t="s">
        <v>201</v>
      </c>
    </row>
    <row r="28" spans="1:23" x14ac:dyDescent="0.35">
      <c r="A28" s="195" t="s">
        <v>144</v>
      </c>
      <c r="B28" s="184">
        <v>75</v>
      </c>
      <c r="C28" s="184">
        <v>0</v>
      </c>
      <c r="D28" s="177">
        <v>0</v>
      </c>
      <c r="E28" s="184" t="s">
        <v>667</v>
      </c>
      <c r="F28" s="184">
        <v>0</v>
      </c>
      <c r="G28" s="177">
        <v>0</v>
      </c>
      <c r="H28" s="184" t="s">
        <v>667</v>
      </c>
      <c r="I28" s="184">
        <v>0</v>
      </c>
      <c r="J28" s="184">
        <v>0</v>
      </c>
      <c r="K28" s="184" t="s">
        <v>667</v>
      </c>
      <c r="L28" s="184">
        <v>0</v>
      </c>
      <c r="M28" s="184">
        <v>0</v>
      </c>
      <c r="N28" s="184" t="s">
        <v>667</v>
      </c>
      <c r="O28" s="184">
        <v>0</v>
      </c>
      <c r="P28" s="177">
        <v>0</v>
      </c>
      <c r="Q28" s="184" t="s">
        <v>667</v>
      </c>
      <c r="R28" s="184">
        <v>0</v>
      </c>
      <c r="S28" s="177">
        <v>0</v>
      </c>
      <c r="T28" s="184" t="s">
        <v>667</v>
      </c>
      <c r="U28" s="184">
        <v>0</v>
      </c>
      <c r="V28" s="177">
        <v>0</v>
      </c>
      <c r="W28" s="184" t="s">
        <v>667</v>
      </c>
    </row>
    <row r="29" spans="1:23" ht="15" customHeight="1" thickBot="1" x14ac:dyDescent="0.4">
      <c r="A29" s="194" t="s">
        <v>700</v>
      </c>
      <c r="B29" s="55">
        <v>300</v>
      </c>
      <c r="C29" s="55">
        <v>48</v>
      </c>
      <c r="D29" s="178">
        <v>16</v>
      </c>
      <c r="E29" s="55" t="s">
        <v>805</v>
      </c>
      <c r="F29" s="55">
        <v>35</v>
      </c>
      <c r="G29" s="178">
        <v>11.7</v>
      </c>
      <c r="H29" s="55" t="s">
        <v>806</v>
      </c>
      <c r="I29" s="55">
        <v>0</v>
      </c>
      <c r="J29" s="55">
        <v>0</v>
      </c>
      <c r="K29" s="55" t="s">
        <v>181</v>
      </c>
      <c r="L29" s="55">
        <v>0</v>
      </c>
      <c r="M29" s="55">
        <v>0</v>
      </c>
      <c r="N29" s="55" t="s">
        <v>181</v>
      </c>
      <c r="O29" s="55">
        <v>13</v>
      </c>
      <c r="P29" s="178">
        <v>4.3</v>
      </c>
      <c r="Q29" s="55" t="s">
        <v>702</v>
      </c>
      <c r="R29" s="55">
        <v>0</v>
      </c>
      <c r="S29" s="178">
        <v>0</v>
      </c>
      <c r="T29" s="55" t="s">
        <v>181</v>
      </c>
      <c r="U29" s="55">
        <v>0</v>
      </c>
      <c r="V29" s="178">
        <v>0</v>
      </c>
      <c r="W29" s="55" t="s">
        <v>181</v>
      </c>
    </row>
    <row r="30" spans="1:23" ht="15" thickBot="1" x14ac:dyDescent="0.4">
      <c r="A30" s="216" t="s">
        <v>807</v>
      </c>
      <c r="B30" s="190">
        <f>SUM(B3:B29)</f>
        <v>4501</v>
      </c>
      <c r="C30" s="190">
        <f>SUM(C3:C29)</f>
        <v>1057</v>
      </c>
      <c r="D30" s="92">
        <v>23.7</v>
      </c>
      <c r="E30" s="92" t="s">
        <v>808</v>
      </c>
      <c r="F30" s="190">
        <f>SUM(F3:F29)</f>
        <v>918</v>
      </c>
      <c r="G30" s="92">
        <v>20.6</v>
      </c>
      <c r="H30" s="92" t="s">
        <v>809</v>
      </c>
      <c r="I30" s="190">
        <f>SUM(I3:I29)</f>
        <v>106</v>
      </c>
      <c r="J30" s="91">
        <v>3.4</v>
      </c>
      <c r="K30" s="91" t="s">
        <v>810</v>
      </c>
      <c r="L30" s="190">
        <f>SUM(L3:L29)</f>
        <v>11</v>
      </c>
      <c r="M30" s="91">
        <v>0.4</v>
      </c>
      <c r="N30" s="91" t="s">
        <v>811</v>
      </c>
      <c r="O30" s="190">
        <f>SUM(O3:O29)</f>
        <v>109</v>
      </c>
      <c r="P30" s="92">
        <v>2.5</v>
      </c>
      <c r="Q30" s="92" t="s">
        <v>812</v>
      </c>
      <c r="R30" s="190">
        <f>SUM(R3:R29)</f>
        <v>30</v>
      </c>
      <c r="S30" s="92">
        <v>0.7</v>
      </c>
      <c r="T30" s="92" t="s">
        <v>813</v>
      </c>
      <c r="U30" s="190">
        <f>SUM(U3:U29)</f>
        <v>0</v>
      </c>
      <c r="V30" s="92">
        <v>0</v>
      </c>
      <c r="W30" s="92" t="s">
        <v>310</v>
      </c>
    </row>
    <row r="31" spans="1:23" x14ac:dyDescent="0.35">
      <c r="A31" s="211" t="s">
        <v>814</v>
      </c>
      <c r="B31" s="199">
        <v>113</v>
      </c>
      <c r="C31" s="55">
        <v>1</v>
      </c>
      <c r="D31" s="178">
        <v>0.9</v>
      </c>
      <c r="E31" s="178" t="s">
        <v>667</v>
      </c>
      <c r="F31" s="55">
        <v>0</v>
      </c>
      <c r="G31" s="178">
        <v>0</v>
      </c>
      <c r="H31" s="178" t="s">
        <v>665</v>
      </c>
      <c r="I31" s="178" t="s">
        <v>119</v>
      </c>
      <c r="J31" s="55" t="s">
        <v>128</v>
      </c>
      <c r="K31" s="55" t="s">
        <v>128</v>
      </c>
      <c r="L31" s="55" t="s">
        <v>119</v>
      </c>
      <c r="M31" s="55" t="s">
        <v>128</v>
      </c>
      <c r="N31" s="55" t="s">
        <v>128</v>
      </c>
      <c r="O31" s="55">
        <v>1</v>
      </c>
      <c r="P31" s="178">
        <v>0.9</v>
      </c>
      <c r="Q31" s="178" t="s">
        <v>667</v>
      </c>
      <c r="R31" s="55">
        <v>0</v>
      </c>
      <c r="S31" s="178">
        <v>0</v>
      </c>
      <c r="T31" s="178" t="s">
        <v>665</v>
      </c>
      <c r="U31" s="55">
        <v>0</v>
      </c>
      <c r="V31" s="178">
        <v>0</v>
      </c>
      <c r="W31" s="178" t="s">
        <v>665</v>
      </c>
    </row>
    <row r="32" spans="1:23" ht="14" customHeight="1" thickBot="1" x14ac:dyDescent="0.4">
      <c r="A32" s="211" t="s">
        <v>150</v>
      </c>
      <c r="B32" s="199">
        <v>160</v>
      </c>
      <c r="C32" s="55">
        <v>64</v>
      </c>
      <c r="D32" s="178">
        <v>40</v>
      </c>
      <c r="E32" s="55" t="s">
        <v>815</v>
      </c>
      <c r="F32" s="55">
        <v>43</v>
      </c>
      <c r="G32" s="178">
        <v>26.9</v>
      </c>
      <c r="H32" s="55" t="s">
        <v>816</v>
      </c>
      <c r="I32" s="55">
        <v>7</v>
      </c>
      <c r="J32" s="55">
        <v>4.4000000000000004</v>
      </c>
      <c r="K32" s="55" t="s">
        <v>817</v>
      </c>
      <c r="L32" s="55">
        <v>0</v>
      </c>
      <c r="M32" s="55">
        <v>0</v>
      </c>
      <c r="N32" s="55" t="s">
        <v>330</v>
      </c>
      <c r="O32" s="55">
        <v>16</v>
      </c>
      <c r="P32" s="178">
        <v>10</v>
      </c>
      <c r="Q32" s="55" t="s">
        <v>818</v>
      </c>
      <c r="R32" s="55">
        <v>5</v>
      </c>
      <c r="S32" s="178">
        <v>3.1</v>
      </c>
      <c r="T32" s="55" t="s">
        <v>819</v>
      </c>
      <c r="U32" s="55">
        <v>0</v>
      </c>
      <c r="V32" s="178">
        <v>0</v>
      </c>
      <c r="W32" s="55" t="s">
        <v>330</v>
      </c>
    </row>
    <row r="33" spans="1:23" ht="15" thickBot="1" x14ac:dyDescent="0.4">
      <c r="A33" s="216" t="s">
        <v>173</v>
      </c>
      <c r="B33" s="190">
        <f>SUM(B31:B32)</f>
        <v>273</v>
      </c>
      <c r="C33" s="190">
        <f>SUM(C31:C32)</f>
        <v>65</v>
      </c>
      <c r="D33" s="92">
        <v>23.8</v>
      </c>
      <c r="E33" s="99" t="s">
        <v>820</v>
      </c>
      <c r="F33" s="190">
        <f>SUM(F31:F32)</f>
        <v>43</v>
      </c>
      <c r="G33" s="92">
        <v>15.8</v>
      </c>
      <c r="H33" s="99" t="s">
        <v>821</v>
      </c>
      <c r="I33" s="190">
        <f>SUM(I31:I32)</f>
        <v>7</v>
      </c>
      <c r="J33" s="91">
        <v>4.4000000000000004</v>
      </c>
      <c r="K33" s="91" t="s">
        <v>817</v>
      </c>
      <c r="L33" s="190">
        <f>SUM(L31:L32)</f>
        <v>0</v>
      </c>
      <c r="M33" s="91">
        <v>0</v>
      </c>
      <c r="N33" s="91" t="s">
        <v>330</v>
      </c>
      <c r="O33" s="190">
        <f>SUM(O31:O32)</f>
        <v>17</v>
      </c>
      <c r="P33" s="92">
        <v>6.2</v>
      </c>
      <c r="Q33" s="99" t="s">
        <v>822</v>
      </c>
      <c r="R33" s="190">
        <f>SUM(R31:R32)</f>
        <v>5</v>
      </c>
      <c r="S33" s="92">
        <v>1.8</v>
      </c>
      <c r="T33" s="99" t="s">
        <v>823</v>
      </c>
      <c r="U33" s="190">
        <f>SUM(U31:U32)</f>
        <v>0</v>
      </c>
      <c r="V33" s="92">
        <v>0</v>
      </c>
      <c r="W33" s="99" t="s">
        <v>293</v>
      </c>
    </row>
    <row r="34" spans="1:23" ht="15" thickBot="1" x14ac:dyDescent="0.4">
      <c r="A34" s="216" t="s">
        <v>824</v>
      </c>
      <c r="B34" s="98">
        <f>SUM(B30,B33)</f>
        <v>4774</v>
      </c>
      <c r="C34" s="98">
        <f>SUM(C30,C33)</f>
        <v>1122</v>
      </c>
      <c r="D34" s="92">
        <v>23.5</v>
      </c>
      <c r="E34" s="99" t="s">
        <v>825</v>
      </c>
      <c r="F34" s="98">
        <f>SUM(F30,F33)</f>
        <v>961</v>
      </c>
      <c r="G34" s="92">
        <v>20.100000000000001</v>
      </c>
      <c r="H34" s="99" t="s">
        <v>826</v>
      </c>
      <c r="I34" s="98">
        <f>SUM(I30,I33)</f>
        <v>113</v>
      </c>
      <c r="J34" s="91">
        <v>3.4</v>
      </c>
      <c r="K34" s="91" t="s">
        <v>827</v>
      </c>
      <c r="L34" s="98">
        <f>SUM(L30,L33)</f>
        <v>11</v>
      </c>
      <c r="M34" s="91">
        <v>0.3</v>
      </c>
      <c r="N34" s="91" t="s">
        <v>811</v>
      </c>
      <c r="O34" s="98">
        <f>SUM(O30,O33)</f>
        <v>126</v>
      </c>
      <c r="P34" s="92">
        <v>2.6</v>
      </c>
      <c r="Q34" s="99" t="s">
        <v>828</v>
      </c>
      <c r="R34" s="98">
        <f>SUM(R30,R33)</f>
        <v>35</v>
      </c>
      <c r="S34" s="92">
        <v>0.7</v>
      </c>
      <c r="T34" s="100" t="s">
        <v>813</v>
      </c>
      <c r="U34" s="98">
        <f>SUM(U30,U33)</f>
        <v>0</v>
      </c>
      <c r="V34" s="92">
        <v>0</v>
      </c>
      <c r="W34" s="101" t="s">
        <v>310</v>
      </c>
    </row>
    <row r="36" spans="1:23" x14ac:dyDescent="0.35">
      <c r="B36" s="175"/>
      <c r="C36" s="245" t="s">
        <v>326</v>
      </c>
      <c r="D36" s="246"/>
      <c r="E36" s="246"/>
      <c r="F36" s="246"/>
      <c r="G36" s="246"/>
      <c r="H36" s="246"/>
      <c r="I36" s="246"/>
      <c r="J36" s="248"/>
      <c r="K36" s="60"/>
    </row>
    <row r="37" spans="1:23" x14ac:dyDescent="0.35">
      <c r="B37" s="165" t="s">
        <v>153</v>
      </c>
      <c r="C37" s="249" t="s">
        <v>154</v>
      </c>
      <c r="D37" s="250"/>
      <c r="E37" s="250"/>
      <c r="F37" s="250"/>
      <c r="G37" s="250"/>
      <c r="H37" s="250"/>
      <c r="I37" s="250"/>
      <c r="J37" s="252"/>
      <c r="K37" s="60"/>
    </row>
  </sheetData>
  <mergeCells count="11">
    <mergeCell ref="U1:W1"/>
    <mergeCell ref="C36:J36"/>
    <mergeCell ref="C37:J37"/>
    <mergeCell ref="L1:N1"/>
    <mergeCell ref="O1:Q1"/>
    <mergeCell ref="R1:T1"/>
    <mergeCell ref="A1:A2"/>
    <mergeCell ref="B1:B2"/>
    <mergeCell ref="C1:E1"/>
    <mergeCell ref="F1:H1"/>
    <mergeCell ref="I1:K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0">
    <tabColor theme="7" tint="0.59999389629810485"/>
  </sheetPr>
  <dimension ref="A1:W38"/>
  <sheetViews>
    <sheetView zoomScale="80" zoomScaleNormal="80" workbookViewId="0">
      <selection activeCell="A6" sqref="A6:XFD6"/>
    </sheetView>
  </sheetViews>
  <sheetFormatPr defaultColWidth="10.6328125" defaultRowHeight="14.5" x14ac:dyDescent="0.35"/>
  <cols>
    <col min="1" max="1" width="32.54296875" style="60" customWidth="1"/>
    <col min="3" max="23" width="10.36328125" customWidth="1"/>
  </cols>
  <sheetData>
    <row r="1" spans="1:23" ht="17" thickBot="1" x14ac:dyDescent="0.4">
      <c r="A1" s="240" t="s">
        <v>108</v>
      </c>
      <c r="B1" s="242" t="s">
        <v>155</v>
      </c>
      <c r="C1" s="243" t="s">
        <v>109</v>
      </c>
      <c r="D1" s="243"/>
      <c r="E1" s="243"/>
      <c r="F1" s="244" t="s">
        <v>160</v>
      </c>
      <c r="G1" s="244"/>
      <c r="H1" s="244"/>
      <c r="I1" s="244" t="s">
        <v>161</v>
      </c>
      <c r="J1" s="244"/>
      <c r="K1" s="244"/>
      <c r="L1" s="244" t="s">
        <v>162</v>
      </c>
      <c r="M1" s="244"/>
      <c r="N1" s="244"/>
      <c r="O1" s="253" t="s">
        <v>163</v>
      </c>
      <c r="P1" s="253"/>
      <c r="Q1" s="253"/>
      <c r="R1" s="253" t="s">
        <v>164</v>
      </c>
      <c r="S1" s="253"/>
      <c r="T1" s="253"/>
      <c r="U1" s="253" t="s">
        <v>165</v>
      </c>
      <c r="V1" s="253"/>
      <c r="W1" s="253"/>
    </row>
    <row r="2" spans="1:23" ht="15" thickBot="1" x14ac:dyDescent="0.4">
      <c r="A2" s="241"/>
      <c r="B2" s="231"/>
      <c r="C2" s="85" t="s">
        <v>83</v>
      </c>
      <c r="D2" s="85" t="s">
        <v>175</v>
      </c>
      <c r="E2" s="85" t="s">
        <v>176</v>
      </c>
      <c r="F2" s="85" t="s">
        <v>83</v>
      </c>
      <c r="G2" s="94" t="s">
        <v>175</v>
      </c>
      <c r="H2" s="85" t="s">
        <v>176</v>
      </c>
      <c r="I2" s="85" t="s">
        <v>83</v>
      </c>
      <c r="J2" s="94" t="s">
        <v>175</v>
      </c>
      <c r="K2" s="85" t="s">
        <v>176</v>
      </c>
      <c r="L2" s="85" t="s">
        <v>83</v>
      </c>
      <c r="M2" s="94" t="s">
        <v>175</v>
      </c>
      <c r="N2" s="85" t="s">
        <v>176</v>
      </c>
      <c r="O2" s="85" t="s">
        <v>83</v>
      </c>
      <c r="P2" s="94" t="s">
        <v>175</v>
      </c>
      <c r="Q2" s="85" t="s">
        <v>176</v>
      </c>
      <c r="R2" s="85" t="s">
        <v>83</v>
      </c>
      <c r="S2" s="94" t="s">
        <v>175</v>
      </c>
      <c r="T2" s="85" t="s">
        <v>176</v>
      </c>
      <c r="U2" s="85" t="s">
        <v>83</v>
      </c>
      <c r="V2" s="94" t="s">
        <v>175</v>
      </c>
      <c r="W2" s="85" t="s">
        <v>176</v>
      </c>
    </row>
    <row r="3" spans="1:23" x14ac:dyDescent="0.35">
      <c r="A3" s="201" t="s">
        <v>177</v>
      </c>
      <c r="B3" s="6">
        <v>321</v>
      </c>
      <c r="C3" s="6">
        <v>15</v>
      </c>
      <c r="D3" s="44">
        <v>4.67</v>
      </c>
      <c r="E3" s="6" t="s">
        <v>829</v>
      </c>
      <c r="F3" s="6">
        <v>14</v>
      </c>
      <c r="G3" s="44">
        <v>4.3600000000000003</v>
      </c>
      <c r="H3" s="6" t="s">
        <v>830</v>
      </c>
      <c r="I3" s="6" t="s">
        <v>119</v>
      </c>
      <c r="J3" s="6" t="s">
        <v>128</v>
      </c>
      <c r="K3" s="6" t="s">
        <v>128</v>
      </c>
      <c r="L3" s="6" t="s">
        <v>119</v>
      </c>
      <c r="M3" s="6" t="s">
        <v>128</v>
      </c>
      <c r="N3" s="6" t="s">
        <v>128</v>
      </c>
      <c r="O3" s="6">
        <v>1</v>
      </c>
      <c r="P3" s="44">
        <v>0.31</v>
      </c>
      <c r="Q3" s="6" t="s">
        <v>474</v>
      </c>
      <c r="R3" s="6">
        <v>0</v>
      </c>
      <c r="S3" s="44">
        <v>0</v>
      </c>
      <c r="T3" s="6" t="s">
        <v>427</v>
      </c>
      <c r="U3" s="6">
        <v>0</v>
      </c>
      <c r="V3" s="44">
        <v>0</v>
      </c>
      <c r="W3" s="6" t="s">
        <v>427</v>
      </c>
    </row>
    <row r="4" spans="1:23" x14ac:dyDescent="0.35">
      <c r="A4" s="201" t="s">
        <v>183</v>
      </c>
      <c r="B4" s="6">
        <v>312</v>
      </c>
      <c r="C4" s="6">
        <v>6</v>
      </c>
      <c r="D4" s="44">
        <v>1.92</v>
      </c>
      <c r="E4" s="6" t="s">
        <v>831</v>
      </c>
      <c r="F4" s="6">
        <v>4</v>
      </c>
      <c r="G4" s="44">
        <v>1.28</v>
      </c>
      <c r="H4" s="6" t="s">
        <v>832</v>
      </c>
      <c r="I4" s="6" t="s">
        <v>119</v>
      </c>
      <c r="J4" s="6" t="s">
        <v>128</v>
      </c>
      <c r="K4" s="6" t="s">
        <v>128</v>
      </c>
      <c r="L4" s="6" t="s">
        <v>119</v>
      </c>
      <c r="M4" s="6" t="s">
        <v>128</v>
      </c>
      <c r="N4" s="6" t="s">
        <v>128</v>
      </c>
      <c r="O4" s="6">
        <v>2</v>
      </c>
      <c r="P4" s="44">
        <v>0.64</v>
      </c>
      <c r="Q4" s="6" t="s">
        <v>556</v>
      </c>
      <c r="R4" s="6">
        <v>0</v>
      </c>
      <c r="S4" s="44">
        <v>0</v>
      </c>
      <c r="T4" s="6" t="s">
        <v>383</v>
      </c>
      <c r="U4" s="6">
        <v>0</v>
      </c>
      <c r="V4" s="44">
        <v>0</v>
      </c>
      <c r="W4" s="6" t="s">
        <v>383</v>
      </c>
    </row>
    <row r="5" spans="1:23" x14ac:dyDescent="0.35">
      <c r="A5" s="201" t="s">
        <v>118</v>
      </c>
      <c r="B5" s="6">
        <v>137</v>
      </c>
      <c r="C5" s="6">
        <v>12</v>
      </c>
      <c r="D5" s="44">
        <v>8.76</v>
      </c>
      <c r="E5" s="6" t="s">
        <v>833</v>
      </c>
      <c r="F5" s="6">
        <v>10</v>
      </c>
      <c r="G5" s="44">
        <v>7.3</v>
      </c>
      <c r="H5" s="6" t="s">
        <v>834</v>
      </c>
      <c r="I5" s="6">
        <v>7</v>
      </c>
      <c r="J5" s="44">
        <v>5.1094890510948909</v>
      </c>
      <c r="K5" s="6" t="s">
        <v>835</v>
      </c>
      <c r="L5" s="6">
        <v>0</v>
      </c>
      <c r="M5" s="44">
        <v>0</v>
      </c>
      <c r="N5" s="6" t="s">
        <v>836</v>
      </c>
      <c r="O5" s="6">
        <v>0</v>
      </c>
      <c r="P5" s="44">
        <v>0</v>
      </c>
      <c r="Q5" s="6" t="s">
        <v>837</v>
      </c>
      <c r="R5" s="6">
        <v>2</v>
      </c>
      <c r="S5" s="44">
        <v>1.46</v>
      </c>
      <c r="T5" s="6" t="s">
        <v>838</v>
      </c>
      <c r="U5" s="6">
        <v>0</v>
      </c>
      <c r="V5" s="44">
        <v>0</v>
      </c>
      <c r="W5" s="6" t="s">
        <v>837</v>
      </c>
    </row>
    <row r="6" spans="1:23" x14ac:dyDescent="0.35">
      <c r="A6" s="201" t="s">
        <v>120</v>
      </c>
      <c r="B6" s="6">
        <v>97</v>
      </c>
      <c r="C6" s="6">
        <v>6</v>
      </c>
      <c r="D6" s="44">
        <v>6.19</v>
      </c>
      <c r="E6" s="6" t="s">
        <v>839</v>
      </c>
      <c r="F6" s="6">
        <v>6</v>
      </c>
      <c r="G6" s="44">
        <v>6.19</v>
      </c>
      <c r="H6" s="6" t="s">
        <v>839</v>
      </c>
      <c r="I6" s="6">
        <v>0</v>
      </c>
      <c r="J6" s="44">
        <v>0</v>
      </c>
      <c r="K6" s="6" t="s">
        <v>840</v>
      </c>
      <c r="L6" s="6">
        <v>0</v>
      </c>
      <c r="M6" s="44">
        <v>0</v>
      </c>
      <c r="N6" s="6" t="s">
        <v>840</v>
      </c>
      <c r="O6" s="6">
        <v>0</v>
      </c>
      <c r="P6" s="44">
        <v>0</v>
      </c>
      <c r="Q6" s="6" t="s">
        <v>461</v>
      </c>
      <c r="R6" s="6">
        <v>0</v>
      </c>
      <c r="S6" s="44">
        <v>0</v>
      </c>
      <c r="T6" s="6" t="s">
        <v>461</v>
      </c>
      <c r="U6" s="6">
        <v>0</v>
      </c>
      <c r="V6" s="44">
        <v>0</v>
      </c>
      <c r="W6" s="6" t="s">
        <v>461</v>
      </c>
    </row>
    <row r="7" spans="1:23" x14ac:dyDescent="0.35">
      <c r="A7" s="202" t="s">
        <v>121</v>
      </c>
      <c r="B7" s="143">
        <v>155</v>
      </c>
      <c r="C7" s="143">
        <v>0</v>
      </c>
      <c r="D7" s="142">
        <v>0</v>
      </c>
      <c r="E7" s="143" t="s">
        <v>456</v>
      </c>
      <c r="F7" s="143">
        <v>0</v>
      </c>
      <c r="G7" s="142">
        <v>0</v>
      </c>
      <c r="H7" s="143" t="s">
        <v>456</v>
      </c>
      <c r="I7" s="143">
        <v>0</v>
      </c>
      <c r="J7" s="142">
        <v>0</v>
      </c>
      <c r="K7" s="143" t="s">
        <v>454</v>
      </c>
      <c r="L7" s="143">
        <v>0</v>
      </c>
      <c r="M7" s="142">
        <v>0</v>
      </c>
      <c r="N7" s="143" t="s">
        <v>454</v>
      </c>
      <c r="O7" s="143">
        <v>0</v>
      </c>
      <c r="P7" s="142">
        <v>0</v>
      </c>
      <c r="Q7" s="143" t="s">
        <v>456</v>
      </c>
      <c r="R7" s="143">
        <v>0</v>
      </c>
      <c r="S7" s="142">
        <v>0</v>
      </c>
      <c r="T7" s="143" t="s">
        <v>456</v>
      </c>
      <c r="U7" s="143">
        <v>0</v>
      </c>
      <c r="V7" s="142">
        <v>0</v>
      </c>
      <c r="W7" s="143" t="s">
        <v>456</v>
      </c>
    </row>
    <row r="8" spans="1:23" x14ac:dyDescent="0.35">
      <c r="A8" s="201" t="s">
        <v>204</v>
      </c>
      <c r="B8" s="6">
        <v>297</v>
      </c>
      <c r="C8" s="6">
        <v>26</v>
      </c>
      <c r="D8" s="44">
        <v>8.75</v>
      </c>
      <c r="E8" s="7" t="s">
        <v>841</v>
      </c>
      <c r="F8" s="6">
        <v>17</v>
      </c>
      <c r="G8" s="44">
        <v>5.72</v>
      </c>
      <c r="H8" s="7" t="s">
        <v>842</v>
      </c>
      <c r="I8" s="6" t="s">
        <v>119</v>
      </c>
      <c r="J8" s="44" t="s">
        <v>128</v>
      </c>
      <c r="K8" s="6" t="s">
        <v>128</v>
      </c>
      <c r="L8" s="6" t="s">
        <v>119</v>
      </c>
      <c r="M8" s="44" t="s">
        <v>128</v>
      </c>
      <c r="N8" s="6" t="s">
        <v>128</v>
      </c>
      <c r="O8" s="6">
        <v>9</v>
      </c>
      <c r="P8" s="44">
        <v>3.03</v>
      </c>
      <c r="Q8" s="6" t="s">
        <v>554</v>
      </c>
      <c r="R8" s="6">
        <v>0</v>
      </c>
      <c r="S8" s="44">
        <v>0</v>
      </c>
      <c r="T8" s="6" t="s">
        <v>383</v>
      </c>
      <c r="U8" s="6">
        <v>0</v>
      </c>
      <c r="V8" s="44">
        <v>0</v>
      </c>
      <c r="W8" s="6" t="s">
        <v>383</v>
      </c>
    </row>
    <row r="9" spans="1:23" x14ac:dyDescent="0.35">
      <c r="A9" s="201" t="s">
        <v>123</v>
      </c>
      <c r="B9" s="6">
        <v>319</v>
      </c>
      <c r="C9" s="6">
        <v>14</v>
      </c>
      <c r="D9" s="44">
        <v>4.3899999999999997</v>
      </c>
      <c r="E9" s="6" t="s">
        <v>843</v>
      </c>
      <c r="F9" s="6">
        <v>9</v>
      </c>
      <c r="G9" s="44">
        <v>2.82</v>
      </c>
      <c r="H9" s="6" t="s">
        <v>844</v>
      </c>
      <c r="I9" s="7">
        <v>0</v>
      </c>
      <c r="J9" s="44">
        <v>0</v>
      </c>
      <c r="K9" s="6" t="s">
        <v>444</v>
      </c>
      <c r="L9" s="6">
        <v>0</v>
      </c>
      <c r="M9" s="44">
        <v>0</v>
      </c>
      <c r="N9" s="6" t="s">
        <v>444</v>
      </c>
      <c r="O9" s="6">
        <v>4</v>
      </c>
      <c r="P9" s="44">
        <v>1.25</v>
      </c>
      <c r="Q9" s="6" t="s">
        <v>845</v>
      </c>
      <c r="R9" s="6">
        <v>1</v>
      </c>
      <c r="S9" s="44">
        <v>0.31</v>
      </c>
      <c r="T9" s="6" t="s">
        <v>474</v>
      </c>
      <c r="U9" s="6">
        <v>0</v>
      </c>
      <c r="V9" s="44">
        <v>0</v>
      </c>
      <c r="W9" s="6" t="s">
        <v>427</v>
      </c>
    </row>
    <row r="10" spans="1:23" x14ac:dyDescent="0.35">
      <c r="A10" s="201" t="s">
        <v>124</v>
      </c>
      <c r="B10" s="6">
        <v>150</v>
      </c>
      <c r="C10" s="6">
        <v>10</v>
      </c>
      <c r="D10" s="44">
        <v>6.67</v>
      </c>
      <c r="E10" s="6" t="s">
        <v>846</v>
      </c>
      <c r="F10" s="6">
        <v>8</v>
      </c>
      <c r="G10" s="44">
        <v>5.33</v>
      </c>
      <c r="H10" s="6" t="s">
        <v>847</v>
      </c>
      <c r="I10" s="6">
        <v>4</v>
      </c>
      <c r="J10" s="44">
        <v>2.666666666666667</v>
      </c>
      <c r="K10" s="6" t="s">
        <v>848</v>
      </c>
      <c r="L10" s="6">
        <v>0</v>
      </c>
      <c r="M10" s="44">
        <v>0</v>
      </c>
      <c r="N10" s="6" t="s">
        <v>454</v>
      </c>
      <c r="O10" s="6">
        <v>2</v>
      </c>
      <c r="P10" s="44">
        <v>1.33</v>
      </c>
      <c r="Q10" s="6" t="s">
        <v>849</v>
      </c>
      <c r="R10" s="6">
        <v>0</v>
      </c>
      <c r="S10" s="44">
        <v>0</v>
      </c>
      <c r="T10" s="6" t="s">
        <v>456</v>
      </c>
      <c r="U10" s="6">
        <v>0</v>
      </c>
      <c r="V10" s="44">
        <v>0</v>
      </c>
      <c r="W10" s="6" t="s">
        <v>456</v>
      </c>
    </row>
    <row r="11" spans="1:23" x14ac:dyDescent="0.35">
      <c r="A11" s="202" t="s">
        <v>125</v>
      </c>
      <c r="B11" s="143">
        <v>302</v>
      </c>
      <c r="C11" s="143">
        <v>0</v>
      </c>
      <c r="D11" s="142">
        <v>0</v>
      </c>
      <c r="E11" s="143" t="s">
        <v>383</v>
      </c>
      <c r="F11" s="143">
        <v>0</v>
      </c>
      <c r="G11" s="142">
        <v>0</v>
      </c>
      <c r="H11" s="143" t="s">
        <v>383</v>
      </c>
      <c r="I11" s="143">
        <v>0</v>
      </c>
      <c r="J11" s="142">
        <v>0</v>
      </c>
      <c r="K11" s="143" t="s">
        <v>444</v>
      </c>
      <c r="L11" s="143">
        <v>0</v>
      </c>
      <c r="M11" s="142">
        <v>0</v>
      </c>
      <c r="N11" s="143" t="s">
        <v>444</v>
      </c>
      <c r="O11" s="143">
        <v>0</v>
      </c>
      <c r="P11" s="142">
        <v>0</v>
      </c>
      <c r="Q11" s="143" t="s">
        <v>383</v>
      </c>
      <c r="R11" s="143">
        <v>0</v>
      </c>
      <c r="S11" s="142">
        <v>0</v>
      </c>
      <c r="T11" s="143" t="s">
        <v>383</v>
      </c>
      <c r="U11" s="143">
        <v>0</v>
      </c>
      <c r="V11" s="142">
        <v>0</v>
      </c>
      <c r="W11" s="143" t="s">
        <v>383</v>
      </c>
    </row>
    <row r="12" spans="1:23" x14ac:dyDescent="0.35">
      <c r="A12" s="201" t="s">
        <v>126</v>
      </c>
      <c r="B12" s="6">
        <v>318</v>
      </c>
      <c r="C12" s="6">
        <v>2</v>
      </c>
      <c r="D12" s="44">
        <v>0.63</v>
      </c>
      <c r="E12" s="6" t="s">
        <v>556</v>
      </c>
      <c r="F12" s="6">
        <v>1</v>
      </c>
      <c r="G12" s="44">
        <v>0.31</v>
      </c>
      <c r="H12" s="6" t="s">
        <v>474</v>
      </c>
      <c r="I12" s="6">
        <v>0</v>
      </c>
      <c r="J12" s="44">
        <v>0</v>
      </c>
      <c r="K12" s="6" t="s">
        <v>444</v>
      </c>
      <c r="L12" s="6">
        <v>0</v>
      </c>
      <c r="M12" s="44">
        <v>0</v>
      </c>
      <c r="N12" s="6" t="s">
        <v>444</v>
      </c>
      <c r="O12" s="6">
        <v>1</v>
      </c>
      <c r="P12" s="44">
        <v>0.31</v>
      </c>
      <c r="Q12" s="6" t="s">
        <v>474</v>
      </c>
      <c r="R12" s="6">
        <v>0</v>
      </c>
      <c r="S12" s="44">
        <v>0</v>
      </c>
      <c r="T12" s="6" t="s">
        <v>383</v>
      </c>
      <c r="U12" s="6">
        <v>0</v>
      </c>
      <c r="V12" s="44">
        <v>0</v>
      </c>
      <c r="W12" s="6" t="s">
        <v>383</v>
      </c>
    </row>
    <row r="13" spans="1:23" x14ac:dyDescent="0.35">
      <c r="A13" s="201" t="s">
        <v>127</v>
      </c>
      <c r="B13" s="6">
        <v>378</v>
      </c>
      <c r="C13" s="6">
        <v>12</v>
      </c>
      <c r="D13" s="44">
        <v>3.17</v>
      </c>
      <c r="E13" s="6" t="s">
        <v>850</v>
      </c>
      <c r="F13" s="6">
        <v>11</v>
      </c>
      <c r="G13" s="44">
        <v>2.91</v>
      </c>
      <c r="H13" s="6" t="s">
        <v>851</v>
      </c>
      <c r="I13" s="6" t="s">
        <v>119</v>
      </c>
      <c r="J13" s="44" t="s">
        <v>128</v>
      </c>
      <c r="K13" s="6" t="s">
        <v>128</v>
      </c>
      <c r="L13" s="6" t="s">
        <v>119</v>
      </c>
      <c r="M13" s="44" t="s">
        <v>128</v>
      </c>
      <c r="N13" s="6" t="s">
        <v>128</v>
      </c>
      <c r="O13" s="6">
        <v>1</v>
      </c>
      <c r="P13" s="44">
        <v>0.26</v>
      </c>
      <c r="Q13" s="6" t="s">
        <v>852</v>
      </c>
      <c r="R13" s="6">
        <v>0</v>
      </c>
      <c r="S13" s="44">
        <v>0</v>
      </c>
      <c r="T13" s="6" t="s">
        <v>853</v>
      </c>
      <c r="U13" s="6">
        <v>0</v>
      </c>
      <c r="V13" s="44">
        <v>0</v>
      </c>
      <c r="W13" s="6" t="s">
        <v>441</v>
      </c>
    </row>
    <row r="14" spans="1:23" x14ac:dyDescent="0.35">
      <c r="A14" s="201" t="s">
        <v>129</v>
      </c>
      <c r="B14" s="6">
        <v>66</v>
      </c>
      <c r="C14" s="6">
        <v>1</v>
      </c>
      <c r="D14" s="44">
        <v>1.52</v>
      </c>
      <c r="E14" s="6" t="s">
        <v>854</v>
      </c>
      <c r="F14" s="6">
        <v>1</v>
      </c>
      <c r="G14" s="44">
        <v>1.52</v>
      </c>
      <c r="H14" s="6" t="s">
        <v>854</v>
      </c>
      <c r="I14" s="6">
        <v>0</v>
      </c>
      <c r="J14" s="44">
        <v>0</v>
      </c>
      <c r="K14" s="6" t="s">
        <v>855</v>
      </c>
      <c r="L14" s="6">
        <v>0</v>
      </c>
      <c r="M14" s="44">
        <v>0</v>
      </c>
      <c r="N14" s="6" t="s">
        <v>855</v>
      </c>
      <c r="O14" s="6">
        <v>0</v>
      </c>
      <c r="P14" s="44">
        <v>0</v>
      </c>
      <c r="Q14" s="6" t="s">
        <v>856</v>
      </c>
      <c r="R14" s="6">
        <v>0</v>
      </c>
      <c r="S14" s="44">
        <v>0</v>
      </c>
      <c r="T14" s="6" t="s">
        <v>856</v>
      </c>
      <c r="U14" s="6">
        <v>0</v>
      </c>
      <c r="V14" s="44">
        <v>0</v>
      </c>
      <c r="W14" s="6" t="s">
        <v>856</v>
      </c>
    </row>
    <row r="15" spans="1:23" x14ac:dyDescent="0.35">
      <c r="A15" s="201" t="s">
        <v>130</v>
      </c>
      <c r="B15" s="6">
        <v>330</v>
      </c>
      <c r="C15" s="6">
        <v>26</v>
      </c>
      <c r="D15" s="44">
        <v>7.88</v>
      </c>
      <c r="E15" s="6" t="s">
        <v>857</v>
      </c>
      <c r="F15" s="6">
        <v>23</v>
      </c>
      <c r="G15" s="44">
        <v>6.97</v>
      </c>
      <c r="H15" s="6" t="s">
        <v>858</v>
      </c>
      <c r="I15" s="6">
        <v>6</v>
      </c>
      <c r="J15" s="44">
        <v>1.8181818181818181</v>
      </c>
      <c r="K15" s="6" t="s">
        <v>859</v>
      </c>
      <c r="L15" s="6">
        <v>0</v>
      </c>
      <c r="M15" s="44">
        <v>0</v>
      </c>
      <c r="N15" s="6" t="s">
        <v>486</v>
      </c>
      <c r="O15" s="6">
        <v>3</v>
      </c>
      <c r="P15" s="44">
        <v>0.91</v>
      </c>
      <c r="Q15" s="6" t="s">
        <v>860</v>
      </c>
      <c r="R15" s="6">
        <v>0</v>
      </c>
      <c r="S15" s="44">
        <v>0</v>
      </c>
      <c r="T15" s="6" t="s">
        <v>427</v>
      </c>
      <c r="U15" s="6">
        <v>0</v>
      </c>
      <c r="V15" s="44">
        <v>0</v>
      </c>
      <c r="W15" s="6" t="s">
        <v>427</v>
      </c>
    </row>
    <row r="16" spans="1:23" x14ac:dyDescent="0.35">
      <c r="A16" s="201" t="s">
        <v>131</v>
      </c>
      <c r="B16" s="6">
        <v>300</v>
      </c>
      <c r="C16" s="6">
        <v>12</v>
      </c>
      <c r="D16" s="44">
        <v>4</v>
      </c>
      <c r="E16" s="6" t="s">
        <v>568</v>
      </c>
      <c r="F16" s="6">
        <v>3</v>
      </c>
      <c r="G16" s="44">
        <v>1</v>
      </c>
      <c r="H16" s="6" t="s">
        <v>446</v>
      </c>
      <c r="I16" s="6">
        <v>1</v>
      </c>
      <c r="J16" s="44">
        <v>0.33333333333333331</v>
      </c>
      <c r="K16" s="6" t="s">
        <v>471</v>
      </c>
      <c r="L16" s="6">
        <v>1</v>
      </c>
      <c r="M16" s="44">
        <v>0.33333333333333331</v>
      </c>
      <c r="N16" s="6" t="s">
        <v>471</v>
      </c>
      <c r="O16" s="6">
        <v>9</v>
      </c>
      <c r="P16" s="44">
        <v>3</v>
      </c>
      <c r="Q16" s="6" t="s">
        <v>861</v>
      </c>
      <c r="R16" s="6">
        <v>0</v>
      </c>
      <c r="S16" s="44">
        <v>0</v>
      </c>
      <c r="T16" s="6" t="s">
        <v>383</v>
      </c>
      <c r="U16" s="6">
        <v>0</v>
      </c>
      <c r="V16" s="44">
        <v>0</v>
      </c>
      <c r="W16" s="6" t="s">
        <v>383</v>
      </c>
    </row>
    <row r="17" spans="1:23" x14ac:dyDescent="0.35">
      <c r="A17" s="201" t="s">
        <v>157</v>
      </c>
      <c r="B17" s="6">
        <v>299</v>
      </c>
      <c r="C17" s="6">
        <v>19</v>
      </c>
      <c r="D17" s="44">
        <v>6.35</v>
      </c>
      <c r="E17" s="6" t="s">
        <v>420</v>
      </c>
      <c r="F17" s="6">
        <v>16</v>
      </c>
      <c r="G17" s="44">
        <v>5.35</v>
      </c>
      <c r="H17" s="6" t="s">
        <v>862</v>
      </c>
      <c r="I17" s="6" t="s">
        <v>119</v>
      </c>
      <c r="J17" s="44" t="s">
        <v>128</v>
      </c>
      <c r="K17" s="6" t="s">
        <v>128</v>
      </c>
      <c r="L17" s="6" t="s">
        <v>119</v>
      </c>
      <c r="M17" s="44" t="s">
        <v>128</v>
      </c>
      <c r="N17" s="6" t="s">
        <v>128</v>
      </c>
      <c r="O17" s="6">
        <v>3</v>
      </c>
      <c r="P17" s="44">
        <v>1</v>
      </c>
      <c r="Q17" s="6" t="s">
        <v>446</v>
      </c>
      <c r="R17" s="6">
        <v>0</v>
      </c>
      <c r="S17" s="44">
        <v>0</v>
      </c>
      <c r="T17" s="6" t="s">
        <v>383</v>
      </c>
      <c r="U17" s="6">
        <v>0</v>
      </c>
      <c r="V17" s="44">
        <v>0</v>
      </c>
      <c r="W17" s="6" t="s">
        <v>383</v>
      </c>
    </row>
    <row r="18" spans="1:23" x14ac:dyDescent="0.35">
      <c r="A18" s="201" t="s">
        <v>133</v>
      </c>
      <c r="B18" s="6">
        <v>150</v>
      </c>
      <c r="C18" s="6">
        <v>19</v>
      </c>
      <c r="D18" s="44">
        <v>12.67</v>
      </c>
      <c r="E18" s="6" t="s">
        <v>863</v>
      </c>
      <c r="F18" s="6">
        <v>16</v>
      </c>
      <c r="G18" s="44">
        <v>10.67</v>
      </c>
      <c r="H18" s="6" t="s">
        <v>864</v>
      </c>
      <c r="I18" s="6">
        <v>5</v>
      </c>
      <c r="J18" s="44">
        <v>3.3333333333333335</v>
      </c>
      <c r="K18" s="6" t="s">
        <v>662</v>
      </c>
      <c r="L18" s="6">
        <v>0</v>
      </c>
      <c r="M18" s="44">
        <v>0</v>
      </c>
      <c r="N18" s="6" t="s">
        <v>865</v>
      </c>
      <c r="O18" s="6">
        <v>3</v>
      </c>
      <c r="P18" s="44">
        <v>2</v>
      </c>
      <c r="Q18" s="6" t="s">
        <v>866</v>
      </c>
      <c r="R18" s="6">
        <v>0</v>
      </c>
      <c r="S18" s="44">
        <v>0</v>
      </c>
      <c r="T18" s="6" t="s">
        <v>456</v>
      </c>
      <c r="U18" s="6">
        <v>0</v>
      </c>
      <c r="V18" s="44">
        <v>0</v>
      </c>
      <c r="W18" s="6" t="s">
        <v>456</v>
      </c>
    </row>
    <row r="19" spans="1:23" x14ac:dyDescent="0.35">
      <c r="A19" s="201" t="s">
        <v>134</v>
      </c>
      <c r="B19" s="6">
        <v>150</v>
      </c>
      <c r="C19" s="6">
        <v>6</v>
      </c>
      <c r="D19" s="44">
        <v>4</v>
      </c>
      <c r="E19" s="6" t="s">
        <v>455</v>
      </c>
      <c r="F19" s="6">
        <v>6</v>
      </c>
      <c r="G19" s="44">
        <v>4</v>
      </c>
      <c r="H19" s="6" t="s">
        <v>455</v>
      </c>
      <c r="I19" s="6">
        <v>1</v>
      </c>
      <c r="J19" s="44">
        <v>0.66666666666666663</v>
      </c>
      <c r="K19" s="6" t="s">
        <v>840</v>
      </c>
      <c r="L19" s="6">
        <v>0</v>
      </c>
      <c r="M19" s="44">
        <v>0</v>
      </c>
      <c r="N19" s="6" t="s">
        <v>865</v>
      </c>
      <c r="O19" s="6">
        <v>0</v>
      </c>
      <c r="P19" s="44">
        <v>0</v>
      </c>
      <c r="Q19" s="6" t="s">
        <v>456</v>
      </c>
      <c r="R19" s="6">
        <v>0</v>
      </c>
      <c r="S19" s="44">
        <v>0</v>
      </c>
      <c r="T19" s="6" t="s">
        <v>456</v>
      </c>
      <c r="U19" s="6">
        <v>0</v>
      </c>
      <c r="V19" s="44">
        <v>0</v>
      </c>
      <c r="W19" s="6" t="s">
        <v>456</v>
      </c>
    </row>
    <row r="20" spans="1:23" x14ac:dyDescent="0.35">
      <c r="A20" s="201" t="s">
        <v>135</v>
      </c>
      <c r="B20" s="6">
        <v>73</v>
      </c>
      <c r="C20" s="6">
        <v>5</v>
      </c>
      <c r="D20" s="44">
        <v>6.85</v>
      </c>
      <c r="E20" s="6" t="s">
        <v>867</v>
      </c>
      <c r="F20" s="6">
        <v>3</v>
      </c>
      <c r="G20" s="44">
        <v>4.1100000000000003</v>
      </c>
      <c r="H20" s="6" t="s">
        <v>868</v>
      </c>
      <c r="I20" s="6">
        <v>0</v>
      </c>
      <c r="J20" s="44">
        <v>0</v>
      </c>
      <c r="K20" s="6" t="s">
        <v>869</v>
      </c>
      <c r="L20" s="6">
        <v>0</v>
      </c>
      <c r="M20" s="44">
        <v>0</v>
      </c>
      <c r="N20" s="6" t="s">
        <v>869</v>
      </c>
      <c r="O20" s="6">
        <v>2</v>
      </c>
      <c r="P20" s="44">
        <v>2.74</v>
      </c>
      <c r="Q20" s="6" t="s">
        <v>870</v>
      </c>
      <c r="R20" s="6">
        <v>0</v>
      </c>
      <c r="S20" s="44">
        <v>0</v>
      </c>
      <c r="T20" s="6" t="s">
        <v>871</v>
      </c>
      <c r="U20" s="6">
        <v>0</v>
      </c>
      <c r="V20" s="44">
        <v>0</v>
      </c>
      <c r="W20" s="6" t="s">
        <v>871</v>
      </c>
    </row>
    <row r="21" spans="1:23" x14ac:dyDescent="0.35">
      <c r="A21" s="201" t="s">
        <v>136</v>
      </c>
      <c r="B21" s="6">
        <v>150</v>
      </c>
      <c r="C21" s="6">
        <v>4</v>
      </c>
      <c r="D21" s="44">
        <v>2.67</v>
      </c>
      <c r="E21" s="6" t="s">
        <v>872</v>
      </c>
      <c r="F21" s="6">
        <v>4</v>
      </c>
      <c r="G21" s="44">
        <v>2.67</v>
      </c>
      <c r="H21" s="6" t="s">
        <v>872</v>
      </c>
      <c r="I21" s="6">
        <v>0</v>
      </c>
      <c r="J21" s="44">
        <v>0</v>
      </c>
      <c r="K21" s="6" t="s">
        <v>454</v>
      </c>
      <c r="L21" s="6">
        <v>0</v>
      </c>
      <c r="M21" s="44">
        <v>0</v>
      </c>
      <c r="N21" s="6" t="s">
        <v>454</v>
      </c>
      <c r="O21" s="6">
        <v>0</v>
      </c>
      <c r="P21" s="44">
        <v>0</v>
      </c>
      <c r="Q21" s="6" t="s">
        <v>456</v>
      </c>
      <c r="R21" s="6">
        <v>0</v>
      </c>
      <c r="S21" s="44">
        <v>0</v>
      </c>
      <c r="T21" s="6" t="s">
        <v>456</v>
      </c>
      <c r="U21" s="6">
        <v>0</v>
      </c>
      <c r="V21" s="44">
        <v>0</v>
      </c>
      <c r="W21" s="6" t="s">
        <v>456</v>
      </c>
    </row>
    <row r="22" spans="1:23" x14ac:dyDescent="0.35">
      <c r="A22" s="201" t="s">
        <v>137</v>
      </c>
      <c r="B22" s="6">
        <v>291</v>
      </c>
      <c r="C22" s="6">
        <v>1</v>
      </c>
      <c r="D22" s="44">
        <v>0.34</v>
      </c>
      <c r="E22" s="6" t="s">
        <v>382</v>
      </c>
      <c r="F22" s="6">
        <v>1</v>
      </c>
      <c r="G22" s="44">
        <v>0.34</v>
      </c>
      <c r="H22" s="6" t="s">
        <v>382</v>
      </c>
      <c r="I22" s="6" t="s">
        <v>119</v>
      </c>
      <c r="J22" s="44" t="s">
        <v>128</v>
      </c>
      <c r="K22" s="6" t="s">
        <v>128</v>
      </c>
      <c r="L22" s="6" t="s">
        <v>119</v>
      </c>
      <c r="M22" s="44" t="s">
        <v>128</v>
      </c>
      <c r="N22" s="6" t="s">
        <v>128</v>
      </c>
      <c r="O22" s="6">
        <v>0</v>
      </c>
      <c r="P22" s="44">
        <v>0</v>
      </c>
      <c r="Q22" s="6" t="s">
        <v>399</v>
      </c>
      <c r="R22" s="6">
        <v>0</v>
      </c>
      <c r="S22" s="44">
        <v>0</v>
      </c>
      <c r="T22" s="6" t="s">
        <v>399</v>
      </c>
      <c r="U22" s="6">
        <v>0</v>
      </c>
      <c r="V22" s="44">
        <v>0</v>
      </c>
      <c r="W22" s="6" t="s">
        <v>399</v>
      </c>
    </row>
    <row r="23" spans="1:23" x14ac:dyDescent="0.35">
      <c r="A23" s="201" t="s">
        <v>138</v>
      </c>
      <c r="B23" s="6">
        <v>310</v>
      </c>
      <c r="C23" s="6">
        <v>18</v>
      </c>
      <c r="D23" s="44">
        <v>5.81</v>
      </c>
      <c r="E23" s="6" t="s">
        <v>873</v>
      </c>
      <c r="F23" s="6">
        <v>12</v>
      </c>
      <c r="G23" s="44">
        <v>3.87</v>
      </c>
      <c r="H23" s="6" t="s">
        <v>532</v>
      </c>
      <c r="I23" s="6">
        <v>3</v>
      </c>
      <c r="J23" s="44">
        <v>0.967741935483871</v>
      </c>
      <c r="K23" s="6" t="s">
        <v>713</v>
      </c>
      <c r="L23" s="6">
        <v>0</v>
      </c>
      <c r="M23" s="44">
        <v>0</v>
      </c>
      <c r="N23" s="6" t="s">
        <v>444</v>
      </c>
      <c r="O23" s="6">
        <v>5</v>
      </c>
      <c r="P23" s="44">
        <v>1.61</v>
      </c>
      <c r="Q23" s="6" t="s">
        <v>874</v>
      </c>
      <c r="R23" s="6">
        <v>1</v>
      </c>
      <c r="S23" s="44">
        <v>0.32</v>
      </c>
      <c r="T23" s="6" t="s">
        <v>450</v>
      </c>
      <c r="U23" s="6">
        <v>0</v>
      </c>
      <c r="V23" s="44">
        <v>0</v>
      </c>
      <c r="W23" s="6" t="s">
        <v>383</v>
      </c>
    </row>
    <row r="24" spans="1:23" x14ac:dyDescent="0.35">
      <c r="A24" s="201" t="s">
        <v>139</v>
      </c>
      <c r="B24" s="6">
        <v>257</v>
      </c>
      <c r="C24" s="6">
        <v>39</v>
      </c>
      <c r="D24" s="44">
        <v>15.18</v>
      </c>
      <c r="E24" s="6" t="s">
        <v>875</v>
      </c>
      <c r="F24" s="6">
        <v>32</v>
      </c>
      <c r="G24" s="44">
        <v>12.45</v>
      </c>
      <c r="H24" s="6" t="s">
        <v>876</v>
      </c>
      <c r="I24" s="6">
        <v>8</v>
      </c>
      <c r="J24" s="44">
        <v>3.1128404669260696</v>
      </c>
      <c r="K24" s="6" t="s">
        <v>877</v>
      </c>
      <c r="L24" s="6">
        <v>0</v>
      </c>
      <c r="M24" s="44">
        <v>0</v>
      </c>
      <c r="N24" s="6" t="s">
        <v>584</v>
      </c>
      <c r="O24" s="6">
        <v>2</v>
      </c>
      <c r="P24" s="44">
        <v>0.78</v>
      </c>
      <c r="Q24" s="6" t="s">
        <v>878</v>
      </c>
      <c r="R24" s="6">
        <v>5</v>
      </c>
      <c r="S24" s="44">
        <v>1.95</v>
      </c>
      <c r="T24" s="6" t="s">
        <v>879</v>
      </c>
      <c r="U24" s="6">
        <v>0</v>
      </c>
      <c r="V24" s="44">
        <v>0</v>
      </c>
      <c r="W24" s="6" t="s">
        <v>880</v>
      </c>
    </row>
    <row r="25" spans="1:23" x14ac:dyDescent="0.35">
      <c r="A25" s="201" t="s">
        <v>140</v>
      </c>
      <c r="B25" s="6">
        <v>312</v>
      </c>
      <c r="C25" s="6">
        <v>21</v>
      </c>
      <c r="D25" s="44">
        <v>6.73</v>
      </c>
      <c r="E25" s="6" t="s">
        <v>881</v>
      </c>
      <c r="F25" s="6">
        <v>17</v>
      </c>
      <c r="G25" s="44">
        <v>5.45</v>
      </c>
      <c r="H25" s="6" t="s">
        <v>882</v>
      </c>
      <c r="I25" s="6">
        <v>4</v>
      </c>
      <c r="J25" s="44">
        <v>1.2820512820512819</v>
      </c>
      <c r="K25" s="6" t="s">
        <v>774</v>
      </c>
      <c r="L25" s="6">
        <v>0</v>
      </c>
      <c r="M25" s="44">
        <v>0</v>
      </c>
      <c r="N25" s="6" t="s">
        <v>444</v>
      </c>
      <c r="O25" s="6">
        <v>4</v>
      </c>
      <c r="P25" s="44">
        <v>1.28</v>
      </c>
      <c r="Q25" s="6" t="s">
        <v>832</v>
      </c>
      <c r="R25" s="6">
        <v>0</v>
      </c>
      <c r="S25" s="44">
        <v>0</v>
      </c>
      <c r="T25" s="6" t="s">
        <v>383</v>
      </c>
      <c r="U25" s="6">
        <v>0</v>
      </c>
      <c r="V25" s="44">
        <v>0</v>
      </c>
      <c r="W25" s="6" t="s">
        <v>383</v>
      </c>
    </row>
    <row r="26" spans="1:23" x14ac:dyDescent="0.35">
      <c r="A26" s="201" t="s">
        <v>141</v>
      </c>
      <c r="B26" s="6">
        <v>149</v>
      </c>
      <c r="C26" s="6">
        <v>32</v>
      </c>
      <c r="D26" s="44">
        <v>21.48</v>
      </c>
      <c r="E26" s="6" t="s">
        <v>883</v>
      </c>
      <c r="F26" s="6">
        <v>24</v>
      </c>
      <c r="G26" s="44">
        <v>16.11</v>
      </c>
      <c r="H26" s="6" t="s">
        <v>884</v>
      </c>
      <c r="I26" s="6">
        <v>12</v>
      </c>
      <c r="J26" s="44">
        <v>8.0536912751677843</v>
      </c>
      <c r="K26" s="6" t="s">
        <v>736</v>
      </c>
      <c r="L26" s="6">
        <v>0</v>
      </c>
      <c r="M26" s="44">
        <v>0</v>
      </c>
      <c r="N26" s="6" t="s">
        <v>885</v>
      </c>
      <c r="O26" s="6">
        <v>8</v>
      </c>
      <c r="P26" s="44">
        <v>5.37</v>
      </c>
      <c r="Q26" s="6" t="s">
        <v>886</v>
      </c>
      <c r="R26" s="6">
        <v>0</v>
      </c>
      <c r="S26" s="44">
        <v>0</v>
      </c>
      <c r="T26" s="6" t="s">
        <v>456</v>
      </c>
      <c r="U26" s="6">
        <v>0</v>
      </c>
      <c r="V26" s="44">
        <v>0</v>
      </c>
      <c r="W26" s="6" t="s">
        <v>456</v>
      </c>
    </row>
    <row r="27" spans="1:23" x14ac:dyDescent="0.35">
      <c r="A27" s="201" t="s">
        <v>142</v>
      </c>
      <c r="B27" s="6">
        <v>153</v>
      </c>
      <c r="C27" s="6">
        <v>23</v>
      </c>
      <c r="D27" s="44">
        <v>15.03</v>
      </c>
      <c r="E27" s="6" t="s">
        <v>887</v>
      </c>
      <c r="F27" s="6">
        <v>8</v>
      </c>
      <c r="G27" s="44">
        <v>5.23</v>
      </c>
      <c r="H27" s="6" t="s">
        <v>888</v>
      </c>
      <c r="I27" s="6">
        <v>4</v>
      </c>
      <c r="J27" s="44">
        <v>2.6143790849673199</v>
      </c>
      <c r="K27" s="6" t="s">
        <v>889</v>
      </c>
      <c r="L27" s="6">
        <v>0</v>
      </c>
      <c r="M27" s="44">
        <v>0</v>
      </c>
      <c r="N27" s="6" t="s">
        <v>454</v>
      </c>
      <c r="O27" s="6">
        <v>15</v>
      </c>
      <c r="P27" s="44">
        <v>9.8000000000000007</v>
      </c>
      <c r="Q27" s="6" t="s">
        <v>890</v>
      </c>
      <c r="R27" s="6">
        <v>0</v>
      </c>
      <c r="S27" s="44">
        <v>0</v>
      </c>
      <c r="T27" s="6" t="s">
        <v>456</v>
      </c>
      <c r="U27" s="6">
        <v>0</v>
      </c>
      <c r="V27" s="44">
        <v>0</v>
      </c>
      <c r="W27" s="6" t="s">
        <v>456</v>
      </c>
    </row>
    <row r="28" spans="1:23" x14ac:dyDescent="0.35">
      <c r="A28" s="201" t="s">
        <v>143</v>
      </c>
      <c r="B28" s="6">
        <v>297</v>
      </c>
      <c r="C28" s="6">
        <v>19</v>
      </c>
      <c r="D28" s="44">
        <v>6.4</v>
      </c>
      <c r="E28" s="6" t="s">
        <v>891</v>
      </c>
      <c r="F28" s="6">
        <v>14</v>
      </c>
      <c r="G28" s="44">
        <v>4.71</v>
      </c>
      <c r="H28" s="6" t="s">
        <v>892</v>
      </c>
      <c r="I28" s="6">
        <v>6</v>
      </c>
      <c r="J28" s="44">
        <v>2.0202020202020199</v>
      </c>
      <c r="K28" s="6" t="s">
        <v>889</v>
      </c>
      <c r="L28" s="6">
        <v>0</v>
      </c>
      <c r="M28" s="44">
        <v>0</v>
      </c>
      <c r="N28" s="6" t="s">
        <v>444</v>
      </c>
      <c r="O28" s="6">
        <v>3</v>
      </c>
      <c r="P28" s="44">
        <v>1.01</v>
      </c>
      <c r="Q28" s="6" t="s">
        <v>446</v>
      </c>
      <c r="R28" s="6">
        <v>2</v>
      </c>
      <c r="S28" s="44">
        <v>0.67</v>
      </c>
      <c r="T28" s="6" t="s">
        <v>513</v>
      </c>
      <c r="U28" s="6">
        <v>0</v>
      </c>
      <c r="V28" s="44">
        <v>0</v>
      </c>
      <c r="W28" s="6" t="s">
        <v>383</v>
      </c>
    </row>
    <row r="29" spans="1:23" x14ac:dyDescent="0.35">
      <c r="A29" s="202" t="s">
        <v>144</v>
      </c>
      <c r="B29" s="143">
        <v>298</v>
      </c>
      <c r="C29" s="143">
        <v>0</v>
      </c>
      <c r="D29" s="142">
        <v>0</v>
      </c>
      <c r="E29" s="143" t="s">
        <v>383</v>
      </c>
      <c r="F29" s="143">
        <v>0</v>
      </c>
      <c r="G29" s="142">
        <v>0</v>
      </c>
      <c r="H29" s="143" t="s">
        <v>383</v>
      </c>
      <c r="I29" s="143">
        <v>0</v>
      </c>
      <c r="J29" s="142">
        <v>0</v>
      </c>
      <c r="K29" s="143" t="s">
        <v>444</v>
      </c>
      <c r="L29" s="143">
        <v>0</v>
      </c>
      <c r="M29" s="142">
        <v>0</v>
      </c>
      <c r="N29" s="143" t="s">
        <v>444</v>
      </c>
      <c r="O29" s="143">
        <v>0</v>
      </c>
      <c r="P29" s="142">
        <v>0</v>
      </c>
      <c r="Q29" s="143" t="s">
        <v>383</v>
      </c>
      <c r="R29" s="143">
        <v>0</v>
      </c>
      <c r="S29" s="142">
        <v>0</v>
      </c>
      <c r="T29" s="143" t="s">
        <v>383</v>
      </c>
      <c r="U29" s="143">
        <v>0</v>
      </c>
      <c r="V29" s="142">
        <v>0</v>
      </c>
      <c r="W29" s="143" t="s">
        <v>383</v>
      </c>
    </row>
    <row r="30" spans="1:23" ht="15" thickBot="1" x14ac:dyDescent="0.4">
      <c r="A30" s="201" t="s">
        <v>700</v>
      </c>
      <c r="B30" s="6">
        <v>96</v>
      </c>
      <c r="C30" s="6">
        <v>3</v>
      </c>
      <c r="D30" s="44">
        <v>3.13</v>
      </c>
      <c r="E30" s="44" t="s">
        <v>893</v>
      </c>
      <c r="F30" s="6">
        <v>3</v>
      </c>
      <c r="G30" s="44">
        <v>3.13</v>
      </c>
      <c r="H30" s="44" t="s">
        <v>893</v>
      </c>
      <c r="I30" s="44" t="s">
        <v>119</v>
      </c>
      <c r="J30" s="44" t="s">
        <v>128</v>
      </c>
      <c r="K30" s="6" t="s">
        <v>128</v>
      </c>
      <c r="L30" s="6" t="s">
        <v>119</v>
      </c>
      <c r="M30" s="44" t="s">
        <v>128</v>
      </c>
      <c r="N30" s="6" t="s">
        <v>128</v>
      </c>
      <c r="O30" s="6">
        <v>0</v>
      </c>
      <c r="P30" s="44">
        <v>0</v>
      </c>
      <c r="Q30" s="44" t="s">
        <v>894</v>
      </c>
      <c r="R30" s="6">
        <v>0</v>
      </c>
      <c r="S30" s="44">
        <v>0</v>
      </c>
      <c r="T30" s="44" t="s">
        <v>894</v>
      </c>
      <c r="U30" s="6">
        <v>0</v>
      </c>
      <c r="V30" s="44">
        <v>0</v>
      </c>
      <c r="W30" s="44" t="s">
        <v>894</v>
      </c>
    </row>
    <row r="31" spans="1:23" ht="15" thickBot="1" x14ac:dyDescent="0.4">
      <c r="A31" s="203" t="s">
        <v>167</v>
      </c>
      <c r="B31" s="90">
        <f>SUM(B3:B30)</f>
        <v>6467</v>
      </c>
      <c r="C31" s="90">
        <f>SUM(C3:C30)</f>
        <v>351</v>
      </c>
      <c r="D31" s="81">
        <v>5.43</v>
      </c>
      <c r="E31" s="81" t="s">
        <v>895</v>
      </c>
      <c r="F31" s="90">
        <f>SUM(F3:F30)</f>
        <v>263</v>
      </c>
      <c r="G31" s="81">
        <v>4.07</v>
      </c>
      <c r="H31" s="81" t="s">
        <v>896</v>
      </c>
      <c r="I31" s="90">
        <f>SUM(I3:I30)</f>
        <v>61</v>
      </c>
      <c r="J31" s="81">
        <v>1.3637379834562899</v>
      </c>
      <c r="K31" s="81" t="s">
        <v>897</v>
      </c>
      <c r="L31" s="90">
        <f>SUM(L3:L30)</f>
        <v>1</v>
      </c>
      <c r="M31" s="81" t="s">
        <v>309</v>
      </c>
      <c r="N31" s="81" t="s">
        <v>544</v>
      </c>
      <c r="O31" s="90">
        <f>SUM(O3:O30)</f>
        <v>77</v>
      </c>
      <c r="P31" s="81">
        <v>1.19</v>
      </c>
      <c r="Q31" s="81" t="s">
        <v>898</v>
      </c>
      <c r="R31" s="90">
        <f>SUM(R3:R30)</f>
        <v>11</v>
      </c>
      <c r="S31" s="81">
        <v>0.17</v>
      </c>
      <c r="T31" s="81" t="s">
        <v>899</v>
      </c>
      <c r="U31" s="90">
        <f>SUM(U3:U30)</f>
        <v>0</v>
      </c>
      <c r="V31" s="81">
        <v>0</v>
      </c>
      <c r="W31" s="81" t="s">
        <v>524</v>
      </c>
    </row>
    <row r="32" spans="1:23" x14ac:dyDescent="0.35">
      <c r="A32" s="201" t="s">
        <v>169</v>
      </c>
      <c r="B32" s="6">
        <v>283</v>
      </c>
      <c r="C32" s="6">
        <v>4</v>
      </c>
      <c r="D32" s="44">
        <v>1.41</v>
      </c>
      <c r="E32" s="6" t="s">
        <v>580</v>
      </c>
      <c r="F32" s="6">
        <v>0</v>
      </c>
      <c r="G32" s="44">
        <v>0</v>
      </c>
      <c r="H32" s="6" t="s">
        <v>399</v>
      </c>
      <c r="I32" s="6" t="s">
        <v>119</v>
      </c>
      <c r="J32" s="44" t="s">
        <v>128</v>
      </c>
      <c r="K32" s="6" t="s">
        <v>128</v>
      </c>
      <c r="L32" s="6" t="s">
        <v>119</v>
      </c>
      <c r="M32" s="44" t="s">
        <v>128</v>
      </c>
      <c r="N32" s="6" t="s">
        <v>128</v>
      </c>
      <c r="O32" s="6">
        <v>4</v>
      </c>
      <c r="P32" s="44">
        <v>1.41</v>
      </c>
      <c r="Q32" s="6" t="s">
        <v>580</v>
      </c>
      <c r="R32" s="6">
        <v>0</v>
      </c>
      <c r="S32" s="44">
        <v>0</v>
      </c>
      <c r="T32" s="6" t="s">
        <v>399</v>
      </c>
      <c r="U32" s="6">
        <v>0</v>
      </c>
      <c r="V32" s="44">
        <v>0</v>
      </c>
      <c r="W32" s="6" t="s">
        <v>399</v>
      </c>
    </row>
    <row r="33" spans="1:23" ht="15" thickBot="1" x14ac:dyDescent="0.4">
      <c r="A33" s="201" t="s">
        <v>150</v>
      </c>
      <c r="B33" s="6">
        <v>309</v>
      </c>
      <c r="C33" s="6">
        <v>3</v>
      </c>
      <c r="D33" s="44">
        <v>0.97</v>
      </c>
      <c r="E33" s="44" t="s">
        <v>900</v>
      </c>
      <c r="F33" s="6">
        <v>0</v>
      </c>
      <c r="G33" s="44">
        <v>0</v>
      </c>
      <c r="H33" s="44" t="s">
        <v>383</v>
      </c>
      <c r="I33" s="44">
        <v>0</v>
      </c>
      <c r="J33" s="44">
        <v>0</v>
      </c>
      <c r="K33" s="44" t="s">
        <v>444</v>
      </c>
      <c r="L33" s="44">
        <v>0</v>
      </c>
      <c r="M33" s="44">
        <v>0</v>
      </c>
      <c r="N33" s="44" t="s">
        <v>444</v>
      </c>
      <c r="O33" s="6">
        <v>3</v>
      </c>
      <c r="P33" s="44">
        <v>0.97</v>
      </c>
      <c r="Q33" s="44" t="s">
        <v>900</v>
      </c>
      <c r="R33" s="6">
        <v>0</v>
      </c>
      <c r="S33" s="44">
        <v>0</v>
      </c>
      <c r="T33" s="44" t="s">
        <v>383</v>
      </c>
      <c r="U33" s="6">
        <v>0</v>
      </c>
      <c r="V33" s="44">
        <v>0</v>
      </c>
      <c r="W33" s="44" t="s">
        <v>383</v>
      </c>
    </row>
    <row r="34" spans="1:23" ht="15" thickBot="1" x14ac:dyDescent="0.4">
      <c r="A34" s="203" t="s">
        <v>173</v>
      </c>
      <c r="B34" s="82">
        <f>SUM(B32:B33)</f>
        <v>592</v>
      </c>
      <c r="C34" s="82">
        <f>SUM(C32:C33)</f>
        <v>7</v>
      </c>
      <c r="D34" s="81">
        <v>1.2</v>
      </c>
      <c r="E34" s="83" t="s">
        <v>901</v>
      </c>
      <c r="F34" s="82">
        <f>SUM(F32:F33)</f>
        <v>0</v>
      </c>
      <c r="G34" s="81">
        <v>0</v>
      </c>
      <c r="H34" s="83" t="s">
        <v>902</v>
      </c>
      <c r="I34" s="82">
        <f>SUM(I32:I33)</f>
        <v>0</v>
      </c>
      <c r="J34" s="81">
        <v>0</v>
      </c>
      <c r="K34" s="81" t="s">
        <v>444</v>
      </c>
      <c r="L34" s="82">
        <f>SUM(L32:L33)</f>
        <v>0</v>
      </c>
      <c r="M34" s="81">
        <v>0</v>
      </c>
      <c r="N34" s="81" t="s">
        <v>444</v>
      </c>
      <c r="O34" s="82">
        <f>SUM(O32:O33)</f>
        <v>7</v>
      </c>
      <c r="P34" s="81">
        <v>1.2</v>
      </c>
      <c r="Q34" s="83" t="s">
        <v>901</v>
      </c>
      <c r="R34" s="82">
        <f>SUM(R32:R33)</f>
        <v>0</v>
      </c>
      <c r="S34" s="81">
        <v>0</v>
      </c>
      <c r="T34" s="83" t="s">
        <v>902</v>
      </c>
      <c r="U34" s="82">
        <f>SUM(U32:U33)</f>
        <v>0</v>
      </c>
      <c r="V34" s="81">
        <v>0</v>
      </c>
      <c r="W34" s="83" t="s">
        <v>902</v>
      </c>
    </row>
    <row r="35" spans="1:23" ht="15" thickBot="1" x14ac:dyDescent="0.4">
      <c r="A35" s="200" t="s">
        <v>903</v>
      </c>
      <c r="B35" s="93">
        <f>SUM(B31,B34)</f>
        <v>7059</v>
      </c>
      <c r="C35" s="93">
        <f>SUM(C31,C34)</f>
        <v>358</v>
      </c>
      <c r="D35" s="94">
        <v>5.0999999999999996</v>
      </c>
      <c r="E35" s="102" t="s">
        <v>904</v>
      </c>
      <c r="F35" s="93">
        <f>SUM(F31,F34)</f>
        <v>263</v>
      </c>
      <c r="G35" s="94">
        <v>3.7</v>
      </c>
      <c r="H35" s="102" t="s">
        <v>905</v>
      </c>
      <c r="I35" s="93">
        <f>SUM(I31,I34)</f>
        <v>61</v>
      </c>
      <c r="J35" s="94">
        <v>1.3</v>
      </c>
      <c r="K35" s="102" t="s">
        <v>906</v>
      </c>
      <c r="L35" s="93">
        <f>SUM(L31,L34)</f>
        <v>1</v>
      </c>
      <c r="M35" s="94" t="s">
        <v>309</v>
      </c>
      <c r="N35" s="102" t="s">
        <v>544</v>
      </c>
      <c r="O35" s="93">
        <f>SUM(O31,O34)</f>
        <v>84</v>
      </c>
      <c r="P35" s="94">
        <v>1.2</v>
      </c>
      <c r="Q35" s="102" t="s">
        <v>907</v>
      </c>
      <c r="R35" s="93">
        <f>SUM(R31,R34)</f>
        <v>11</v>
      </c>
      <c r="S35" s="94">
        <v>0.2</v>
      </c>
      <c r="T35" s="102" t="s">
        <v>908</v>
      </c>
      <c r="U35" s="93">
        <f>SUM(U31,U34)</f>
        <v>0</v>
      </c>
      <c r="V35" s="94">
        <v>0</v>
      </c>
      <c r="W35" s="102" t="s">
        <v>544</v>
      </c>
    </row>
    <row r="37" spans="1:23" x14ac:dyDescent="0.35">
      <c r="B37" s="175"/>
      <c r="C37" s="245" t="s">
        <v>326</v>
      </c>
      <c r="D37" s="246"/>
      <c r="E37" s="246"/>
      <c r="F37" s="246"/>
      <c r="G37" s="246"/>
      <c r="H37" s="246"/>
      <c r="I37" s="246"/>
      <c r="J37" s="248"/>
      <c r="K37" s="60"/>
    </row>
    <row r="38" spans="1:23" x14ac:dyDescent="0.35">
      <c r="B38" s="165" t="s">
        <v>153</v>
      </c>
      <c r="C38" s="249" t="s">
        <v>154</v>
      </c>
      <c r="D38" s="250"/>
      <c r="E38" s="250"/>
      <c r="F38" s="250"/>
      <c r="G38" s="250"/>
      <c r="H38" s="250"/>
      <c r="I38" s="250"/>
      <c r="J38" s="252"/>
      <c r="K38" s="60"/>
    </row>
  </sheetData>
  <mergeCells count="11">
    <mergeCell ref="U1:W1"/>
    <mergeCell ref="C37:J37"/>
    <mergeCell ref="C38:J38"/>
    <mergeCell ref="L1:N1"/>
    <mergeCell ref="O1:Q1"/>
    <mergeCell ref="R1:T1"/>
    <mergeCell ref="A1:A2"/>
    <mergeCell ref="B1:B2"/>
    <mergeCell ref="C1:E1"/>
    <mergeCell ref="F1:H1"/>
    <mergeCell ref="I1:K1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4">
    <tabColor theme="7" tint="0.59999389629810485"/>
  </sheetPr>
  <dimension ref="A1:W38"/>
  <sheetViews>
    <sheetView zoomScale="80" zoomScaleNormal="80" workbookViewId="0">
      <selection activeCell="A6" sqref="A6:XFD6"/>
    </sheetView>
  </sheetViews>
  <sheetFormatPr defaultColWidth="10.6328125" defaultRowHeight="14.5" x14ac:dyDescent="0.35"/>
  <cols>
    <col min="1" max="1" width="32.6328125" style="60" customWidth="1"/>
    <col min="3" max="3" width="10.36328125" customWidth="1"/>
    <col min="4" max="4" width="10.36328125" style="2" customWidth="1"/>
    <col min="5" max="23" width="10.36328125" customWidth="1"/>
  </cols>
  <sheetData>
    <row r="1" spans="1:23" ht="17" thickBot="1" x14ac:dyDescent="0.4">
      <c r="A1" s="256" t="s">
        <v>108</v>
      </c>
      <c r="B1" s="257" t="s">
        <v>155</v>
      </c>
      <c r="C1" s="259" t="s">
        <v>109</v>
      </c>
      <c r="D1" s="259"/>
      <c r="E1" s="259"/>
      <c r="F1" s="260" t="s">
        <v>160</v>
      </c>
      <c r="G1" s="260"/>
      <c r="H1" s="260"/>
      <c r="I1" s="260" t="s">
        <v>161</v>
      </c>
      <c r="J1" s="260"/>
      <c r="K1" s="260"/>
      <c r="L1" s="260" t="s">
        <v>162</v>
      </c>
      <c r="M1" s="260"/>
      <c r="N1" s="260"/>
      <c r="O1" s="261" t="s">
        <v>163</v>
      </c>
      <c r="P1" s="261"/>
      <c r="Q1" s="261"/>
      <c r="R1" s="261" t="s">
        <v>164</v>
      </c>
      <c r="S1" s="261"/>
      <c r="T1" s="261"/>
      <c r="U1" s="261" t="s">
        <v>165</v>
      </c>
      <c r="V1" s="261"/>
      <c r="W1" s="261"/>
    </row>
    <row r="2" spans="1:23" ht="15" thickBot="1" x14ac:dyDescent="0.4">
      <c r="A2" s="238"/>
      <c r="B2" s="258"/>
      <c r="C2" s="135" t="s">
        <v>83</v>
      </c>
      <c r="D2" s="135" t="s">
        <v>175</v>
      </c>
      <c r="E2" s="135" t="s">
        <v>176</v>
      </c>
      <c r="F2" s="135" t="s">
        <v>83</v>
      </c>
      <c r="G2" s="189" t="s">
        <v>175</v>
      </c>
      <c r="H2" s="135" t="s">
        <v>176</v>
      </c>
      <c r="I2" s="135" t="s">
        <v>83</v>
      </c>
      <c r="J2" s="189" t="s">
        <v>175</v>
      </c>
      <c r="K2" s="135" t="s">
        <v>176</v>
      </c>
      <c r="L2" s="135" t="s">
        <v>83</v>
      </c>
      <c r="M2" s="189" t="s">
        <v>175</v>
      </c>
      <c r="N2" s="135" t="s">
        <v>176</v>
      </c>
      <c r="O2" s="135" t="s">
        <v>83</v>
      </c>
      <c r="P2" s="189" t="s">
        <v>175</v>
      </c>
      <c r="Q2" s="135" t="s">
        <v>176</v>
      </c>
      <c r="R2" s="135" t="s">
        <v>83</v>
      </c>
      <c r="S2" s="189" t="s">
        <v>175</v>
      </c>
      <c r="T2" s="135" t="s">
        <v>176</v>
      </c>
      <c r="U2" s="135" t="s">
        <v>83</v>
      </c>
      <c r="V2" s="189" t="s">
        <v>175</v>
      </c>
      <c r="W2" s="135" t="s">
        <v>176</v>
      </c>
    </row>
    <row r="3" spans="1:23" x14ac:dyDescent="0.35">
      <c r="A3" s="201" t="s">
        <v>177</v>
      </c>
      <c r="B3" s="43">
        <v>317</v>
      </c>
      <c r="C3" s="6">
        <v>8</v>
      </c>
      <c r="D3" s="44">
        <v>2.52</v>
      </c>
      <c r="E3" s="7" t="s">
        <v>909</v>
      </c>
      <c r="F3" s="6">
        <v>8</v>
      </c>
      <c r="G3" s="44">
        <v>2.52</v>
      </c>
      <c r="H3" s="7" t="s">
        <v>909</v>
      </c>
      <c r="I3" s="7" t="s">
        <v>119</v>
      </c>
      <c r="J3" s="6" t="s">
        <v>119</v>
      </c>
      <c r="K3" s="6" t="s">
        <v>119</v>
      </c>
      <c r="L3" s="6" t="s">
        <v>119</v>
      </c>
      <c r="M3" s="6" t="s">
        <v>119</v>
      </c>
      <c r="N3" s="6" t="s">
        <v>119</v>
      </c>
      <c r="O3" s="6">
        <v>0</v>
      </c>
      <c r="P3" s="44">
        <v>0</v>
      </c>
      <c r="Q3" s="7" t="s">
        <v>444</v>
      </c>
      <c r="R3" s="6">
        <v>0</v>
      </c>
      <c r="S3" s="44">
        <v>0</v>
      </c>
      <c r="T3" s="7" t="s">
        <v>444</v>
      </c>
      <c r="U3" s="6">
        <v>0</v>
      </c>
      <c r="V3" s="44">
        <v>0</v>
      </c>
      <c r="W3" s="7" t="s">
        <v>444</v>
      </c>
    </row>
    <row r="4" spans="1:23" ht="15" customHeight="1" x14ac:dyDescent="0.35">
      <c r="A4" s="201" t="s">
        <v>183</v>
      </c>
      <c r="B4" s="43">
        <v>313</v>
      </c>
      <c r="C4" s="6">
        <v>6</v>
      </c>
      <c r="D4" s="44">
        <v>3.19</v>
      </c>
      <c r="E4" s="7" t="s">
        <v>910</v>
      </c>
      <c r="F4" s="6">
        <v>2</v>
      </c>
      <c r="G4" s="44">
        <v>1.06</v>
      </c>
      <c r="H4" s="7" t="s">
        <v>713</v>
      </c>
      <c r="I4" s="7" t="s">
        <v>119</v>
      </c>
      <c r="J4" s="7" t="s">
        <v>119</v>
      </c>
      <c r="K4" s="7" t="s">
        <v>119</v>
      </c>
      <c r="L4" s="7" t="s">
        <v>119</v>
      </c>
      <c r="M4" s="7" t="s">
        <v>119</v>
      </c>
      <c r="N4" s="7" t="s">
        <v>119</v>
      </c>
      <c r="O4" s="6">
        <v>4</v>
      </c>
      <c r="P4" s="44">
        <v>2.13</v>
      </c>
      <c r="Q4" s="7" t="s">
        <v>357</v>
      </c>
      <c r="R4" s="6">
        <v>0</v>
      </c>
      <c r="S4" s="44">
        <v>0</v>
      </c>
      <c r="T4" s="7" t="s">
        <v>444</v>
      </c>
      <c r="U4" s="6">
        <v>0</v>
      </c>
      <c r="V4" s="44">
        <v>0</v>
      </c>
      <c r="W4" s="7" t="s">
        <v>444</v>
      </c>
    </row>
    <row r="5" spans="1:23" ht="15" customHeight="1" x14ac:dyDescent="0.35">
      <c r="A5" s="201" t="s">
        <v>118</v>
      </c>
      <c r="B5" s="43">
        <v>142</v>
      </c>
      <c r="C5" s="6">
        <v>7</v>
      </c>
      <c r="D5" s="44">
        <v>4.93</v>
      </c>
      <c r="E5" s="7" t="s">
        <v>911</v>
      </c>
      <c r="F5" s="6">
        <v>7</v>
      </c>
      <c r="G5" s="44">
        <v>4.93</v>
      </c>
      <c r="H5" s="7" t="s">
        <v>911</v>
      </c>
      <c r="I5" s="7">
        <v>1</v>
      </c>
      <c r="J5" s="44">
        <v>0.70422535211267601</v>
      </c>
      <c r="K5" s="6" t="s">
        <v>912</v>
      </c>
      <c r="L5" s="6">
        <v>0</v>
      </c>
      <c r="M5" s="44">
        <v>0</v>
      </c>
      <c r="N5" s="6" t="s">
        <v>913</v>
      </c>
      <c r="O5" s="6">
        <v>0</v>
      </c>
      <c r="P5" s="44">
        <v>0</v>
      </c>
      <c r="Q5" s="7" t="s">
        <v>526</v>
      </c>
      <c r="R5" s="6">
        <v>0</v>
      </c>
      <c r="S5" s="44">
        <v>0</v>
      </c>
      <c r="T5" s="7" t="s">
        <v>526</v>
      </c>
      <c r="U5" s="6">
        <v>0</v>
      </c>
      <c r="V5" s="44">
        <v>0</v>
      </c>
      <c r="W5" s="7" t="s">
        <v>526</v>
      </c>
    </row>
    <row r="6" spans="1:23" x14ac:dyDescent="0.35">
      <c r="A6" s="201" t="s">
        <v>120</v>
      </c>
      <c r="B6" s="43">
        <v>93</v>
      </c>
      <c r="C6" s="6">
        <v>3</v>
      </c>
      <c r="D6" s="44">
        <v>3.23</v>
      </c>
      <c r="E6" s="7" t="s">
        <v>914</v>
      </c>
      <c r="F6" s="6">
        <v>3</v>
      </c>
      <c r="G6" s="44">
        <v>3.23</v>
      </c>
      <c r="H6" s="7" t="s">
        <v>914</v>
      </c>
      <c r="I6" s="7">
        <v>0</v>
      </c>
      <c r="J6" s="44">
        <v>0</v>
      </c>
      <c r="K6" s="6" t="s">
        <v>912</v>
      </c>
      <c r="L6" s="6">
        <v>0</v>
      </c>
      <c r="M6" s="44">
        <v>0</v>
      </c>
      <c r="N6" s="6" t="s">
        <v>912</v>
      </c>
      <c r="O6" s="6">
        <v>0</v>
      </c>
      <c r="P6" s="44">
        <v>0</v>
      </c>
      <c r="Q6" s="7" t="s">
        <v>915</v>
      </c>
      <c r="R6" s="6">
        <v>0</v>
      </c>
      <c r="S6" s="44">
        <v>0</v>
      </c>
      <c r="T6" s="7" t="s">
        <v>915</v>
      </c>
      <c r="U6" s="6">
        <v>0</v>
      </c>
      <c r="V6" s="44">
        <v>0</v>
      </c>
      <c r="W6" s="7" t="s">
        <v>915</v>
      </c>
    </row>
    <row r="7" spans="1:23" x14ac:dyDescent="0.35">
      <c r="A7" s="202" t="s">
        <v>121</v>
      </c>
      <c r="B7" s="141">
        <v>155</v>
      </c>
      <c r="C7" s="143">
        <v>0</v>
      </c>
      <c r="D7" s="142">
        <v>0</v>
      </c>
      <c r="E7" s="147" t="s">
        <v>454</v>
      </c>
      <c r="F7" s="143">
        <v>0</v>
      </c>
      <c r="G7" s="142">
        <v>0</v>
      </c>
      <c r="H7" s="147" t="s">
        <v>454</v>
      </c>
      <c r="I7" s="147">
        <v>0</v>
      </c>
      <c r="J7" s="142">
        <v>0</v>
      </c>
      <c r="K7" s="143" t="s">
        <v>916</v>
      </c>
      <c r="L7" s="143">
        <v>0</v>
      </c>
      <c r="M7" s="142">
        <v>0</v>
      </c>
      <c r="N7" s="143" t="s">
        <v>916</v>
      </c>
      <c r="O7" s="143">
        <v>0</v>
      </c>
      <c r="P7" s="142">
        <v>0</v>
      </c>
      <c r="Q7" s="147" t="s">
        <v>454</v>
      </c>
      <c r="R7" s="143">
        <v>0</v>
      </c>
      <c r="S7" s="142">
        <v>0</v>
      </c>
      <c r="T7" s="147" t="s">
        <v>454</v>
      </c>
      <c r="U7" s="143">
        <v>0</v>
      </c>
      <c r="V7" s="142">
        <v>0</v>
      </c>
      <c r="W7" s="147" t="s">
        <v>454</v>
      </c>
    </row>
    <row r="8" spans="1:23" x14ac:dyDescent="0.35">
      <c r="A8" s="201" t="s">
        <v>204</v>
      </c>
      <c r="B8" s="43">
        <v>299</v>
      </c>
      <c r="C8" s="6">
        <v>29</v>
      </c>
      <c r="D8" s="44">
        <v>9.6999999999999993</v>
      </c>
      <c r="E8" s="7" t="s">
        <v>917</v>
      </c>
      <c r="F8" s="6">
        <v>26</v>
      </c>
      <c r="G8" s="44">
        <v>8.6999999999999993</v>
      </c>
      <c r="H8" s="7" t="s">
        <v>918</v>
      </c>
      <c r="I8" s="6" t="s">
        <v>119</v>
      </c>
      <c r="J8" s="48" t="s">
        <v>119</v>
      </c>
      <c r="K8" s="7" t="s">
        <v>119</v>
      </c>
      <c r="L8" s="7" t="s">
        <v>119</v>
      </c>
      <c r="M8" s="48" t="s">
        <v>119</v>
      </c>
      <c r="N8" s="7" t="s">
        <v>119</v>
      </c>
      <c r="O8" s="6">
        <v>3</v>
      </c>
      <c r="P8" s="44">
        <v>1</v>
      </c>
      <c r="Q8" s="7" t="s">
        <v>218</v>
      </c>
      <c r="R8" s="6">
        <v>0</v>
      </c>
      <c r="S8" s="44">
        <v>0</v>
      </c>
      <c r="T8" s="7" t="s">
        <v>444</v>
      </c>
      <c r="U8" s="6">
        <v>0</v>
      </c>
      <c r="V8" s="44">
        <v>0</v>
      </c>
      <c r="W8" s="7" t="s">
        <v>444</v>
      </c>
    </row>
    <row r="9" spans="1:23" x14ac:dyDescent="0.35">
      <c r="A9" s="201" t="s">
        <v>123</v>
      </c>
      <c r="B9" s="43">
        <v>312</v>
      </c>
      <c r="C9" s="6">
        <v>9</v>
      </c>
      <c r="D9" s="44">
        <v>2.88</v>
      </c>
      <c r="E9" s="7" t="s">
        <v>714</v>
      </c>
      <c r="F9" s="6">
        <v>9</v>
      </c>
      <c r="G9" s="44">
        <v>2.88</v>
      </c>
      <c r="H9" s="7" t="s">
        <v>714</v>
      </c>
      <c r="I9" s="7">
        <v>2</v>
      </c>
      <c r="J9" s="44">
        <v>0.64102564102564097</v>
      </c>
      <c r="K9" s="6" t="s">
        <v>919</v>
      </c>
      <c r="L9" s="6">
        <v>0</v>
      </c>
      <c r="M9" s="44">
        <v>0</v>
      </c>
      <c r="N9" s="6" t="s">
        <v>920</v>
      </c>
      <c r="O9" s="6">
        <v>0</v>
      </c>
      <c r="P9" s="44">
        <v>0</v>
      </c>
      <c r="Q9" s="7" t="s">
        <v>444</v>
      </c>
      <c r="R9" s="6">
        <v>0</v>
      </c>
      <c r="S9" s="44">
        <v>0</v>
      </c>
      <c r="T9" s="7" t="s">
        <v>444</v>
      </c>
      <c r="U9" s="6">
        <v>0</v>
      </c>
      <c r="V9" s="44">
        <v>0</v>
      </c>
      <c r="W9" s="7" t="s">
        <v>444</v>
      </c>
    </row>
    <row r="10" spans="1:23" x14ac:dyDescent="0.35">
      <c r="A10" s="201" t="s">
        <v>124</v>
      </c>
      <c r="B10" s="43">
        <v>150</v>
      </c>
      <c r="C10" s="6">
        <v>5</v>
      </c>
      <c r="D10" s="44">
        <v>3.33</v>
      </c>
      <c r="E10" s="7" t="s">
        <v>662</v>
      </c>
      <c r="F10" s="6">
        <v>4</v>
      </c>
      <c r="G10" s="44">
        <v>2.67</v>
      </c>
      <c r="H10" s="7" t="s">
        <v>848</v>
      </c>
      <c r="I10" s="7">
        <v>1</v>
      </c>
      <c r="J10" s="44">
        <v>0.66666666666666696</v>
      </c>
      <c r="K10" s="6" t="s">
        <v>921</v>
      </c>
      <c r="L10" s="6">
        <v>0</v>
      </c>
      <c r="M10" s="44">
        <v>0</v>
      </c>
      <c r="N10" s="6" t="s">
        <v>916</v>
      </c>
      <c r="O10" s="6">
        <v>0</v>
      </c>
      <c r="P10" s="44">
        <v>0</v>
      </c>
      <c r="Q10" s="7" t="s">
        <v>454</v>
      </c>
      <c r="R10" s="6">
        <v>1</v>
      </c>
      <c r="S10" s="44">
        <v>0.67</v>
      </c>
      <c r="T10" s="7" t="s">
        <v>840</v>
      </c>
      <c r="U10" s="6">
        <v>0</v>
      </c>
      <c r="V10" s="44">
        <v>0</v>
      </c>
      <c r="W10" s="7" t="s">
        <v>454</v>
      </c>
    </row>
    <row r="11" spans="1:23" x14ac:dyDescent="0.35">
      <c r="A11" s="201" t="s">
        <v>217</v>
      </c>
      <c r="B11" s="43">
        <v>299</v>
      </c>
      <c r="C11" s="6">
        <v>1</v>
      </c>
      <c r="D11" s="44">
        <v>0.33</v>
      </c>
      <c r="E11" s="7" t="s">
        <v>411</v>
      </c>
      <c r="F11" s="6">
        <v>1</v>
      </c>
      <c r="G11" s="44">
        <v>0.33</v>
      </c>
      <c r="H11" s="7" t="s">
        <v>411</v>
      </c>
      <c r="I11" s="6" t="s">
        <v>119</v>
      </c>
      <c r="J11" s="48" t="s">
        <v>119</v>
      </c>
      <c r="K11" s="7" t="s">
        <v>119</v>
      </c>
      <c r="L11" s="7" t="s">
        <v>119</v>
      </c>
      <c r="M11" s="48" t="s">
        <v>119</v>
      </c>
      <c r="N11" s="7" t="s">
        <v>119</v>
      </c>
      <c r="O11" s="6">
        <v>0</v>
      </c>
      <c r="P11" s="44">
        <v>0</v>
      </c>
      <c r="Q11" s="7" t="s">
        <v>444</v>
      </c>
      <c r="R11" s="6">
        <v>0</v>
      </c>
      <c r="S11" s="44">
        <v>0</v>
      </c>
      <c r="T11" s="7" t="s">
        <v>444</v>
      </c>
      <c r="U11" s="6">
        <v>0</v>
      </c>
      <c r="V11" s="44">
        <v>0</v>
      </c>
      <c r="W11" s="7" t="s">
        <v>444</v>
      </c>
    </row>
    <row r="12" spans="1:23" x14ac:dyDescent="0.35">
      <c r="A12" s="201" t="s">
        <v>126</v>
      </c>
      <c r="B12" s="43">
        <v>312</v>
      </c>
      <c r="C12" s="6">
        <v>2</v>
      </c>
      <c r="D12" s="44">
        <v>0.64</v>
      </c>
      <c r="E12" s="7" t="s">
        <v>613</v>
      </c>
      <c r="F12" s="6">
        <v>0</v>
      </c>
      <c r="G12" s="44">
        <v>0</v>
      </c>
      <c r="H12" s="7" t="s">
        <v>444</v>
      </c>
      <c r="I12" s="7">
        <v>0</v>
      </c>
      <c r="J12" s="44">
        <v>0</v>
      </c>
      <c r="K12" s="6" t="s">
        <v>920</v>
      </c>
      <c r="L12" s="6">
        <v>0</v>
      </c>
      <c r="M12" s="44">
        <v>0</v>
      </c>
      <c r="N12" s="6" t="s">
        <v>920</v>
      </c>
      <c r="O12" s="6">
        <v>2</v>
      </c>
      <c r="P12" s="44">
        <v>0.64</v>
      </c>
      <c r="Q12" s="7" t="s">
        <v>613</v>
      </c>
      <c r="R12" s="6">
        <v>0</v>
      </c>
      <c r="S12" s="44">
        <v>0</v>
      </c>
      <c r="T12" s="7" t="s">
        <v>444</v>
      </c>
      <c r="U12" s="6">
        <v>0</v>
      </c>
      <c r="V12" s="44">
        <v>0</v>
      </c>
      <c r="W12" s="7" t="s">
        <v>444</v>
      </c>
    </row>
    <row r="13" spans="1:23" x14ac:dyDescent="0.35">
      <c r="A13" s="201" t="s">
        <v>127</v>
      </c>
      <c r="B13" s="43">
        <v>363</v>
      </c>
      <c r="C13" s="6">
        <v>2</v>
      </c>
      <c r="D13" s="44">
        <v>1.38</v>
      </c>
      <c r="E13" s="7" t="s">
        <v>922</v>
      </c>
      <c r="F13" s="6">
        <v>2</v>
      </c>
      <c r="G13" s="44">
        <v>1.38</v>
      </c>
      <c r="H13" s="7" t="s">
        <v>922</v>
      </c>
      <c r="I13" s="6" t="s">
        <v>119</v>
      </c>
      <c r="J13" s="48" t="s">
        <v>119</v>
      </c>
      <c r="K13" s="7" t="s">
        <v>119</v>
      </c>
      <c r="L13" s="7" t="s">
        <v>119</v>
      </c>
      <c r="M13" s="48" t="s">
        <v>119</v>
      </c>
      <c r="N13" s="7" t="s">
        <v>119</v>
      </c>
      <c r="O13" s="6">
        <v>0</v>
      </c>
      <c r="P13" s="44">
        <v>0</v>
      </c>
      <c r="Q13" s="7" t="s">
        <v>923</v>
      </c>
      <c r="R13" s="6">
        <v>0</v>
      </c>
      <c r="S13" s="44">
        <v>0</v>
      </c>
      <c r="T13" s="7" t="s">
        <v>923</v>
      </c>
      <c r="U13" s="6">
        <v>0</v>
      </c>
      <c r="V13" s="44">
        <v>0</v>
      </c>
      <c r="W13" s="7" t="s">
        <v>923</v>
      </c>
    </row>
    <row r="14" spans="1:23" x14ac:dyDescent="0.35">
      <c r="A14" s="201" t="s">
        <v>129</v>
      </c>
      <c r="B14" s="43">
        <v>69</v>
      </c>
      <c r="C14" s="6">
        <v>1</v>
      </c>
      <c r="D14" s="44">
        <v>1.45</v>
      </c>
      <c r="E14" s="7" t="s">
        <v>924</v>
      </c>
      <c r="F14" s="6">
        <v>1</v>
      </c>
      <c r="G14" s="44">
        <v>1.45</v>
      </c>
      <c r="H14" s="7" t="s">
        <v>924</v>
      </c>
      <c r="I14" s="7">
        <v>0</v>
      </c>
      <c r="J14" s="44">
        <v>0</v>
      </c>
      <c r="K14" s="6" t="s">
        <v>925</v>
      </c>
      <c r="L14" s="6">
        <v>0</v>
      </c>
      <c r="M14" s="44">
        <v>0</v>
      </c>
      <c r="N14" s="6" t="s">
        <v>925</v>
      </c>
      <c r="O14" s="6">
        <v>0</v>
      </c>
      <c r="P14" s="44">
        <v>0</v>
      </c>
      <c r="Q14" s="7" t="s">
        <v>926</v>
      </c>
      <c r="R14" s="6">
        <v>0</v>
      </c>
      <c r="S14" s="44">
        <v>0</v>
      </c>
      <c r="T14" s="7" t="s">
        <v>926</v>
      </c>
      <c r="U14" s="6">
        <v>0</v>
      </c>
      <c r="V14" s="44">
        <v>0</v>
      </c>
      <c r="W14" s="7" t="s">
        <v>926</v>
      </c>
    </row>
    <row r="15" spans="1:23" x14ac:dyDescent="0.35">
      <c r="A15" s="201" t="s">
        <v>130</v>
      </c>
      <c r="B15" s="43">
        <v>165</v>
      </c>
      <c r="C15" s="6">
        <v>41</v>
      </c>
      <c r="D15" s="44">
        <v>24.85</v>
      </c>
      <c r="E15" s="7" t="s">
        <v>927</v>
      </c>
      <c r="F15" s="6">
        <v>40</v>
      </c>
      <c r="G15" s="44">
        <v>24.24</v>
      </c>
      <c r="H15" s="7" t="s">
        <v>928</v>
      </c>
      <c r="I15" s="7">
        <v>14</v>
      </c>
      <c r="J15" s="44">
        <v>8.4848484848484897</v>
      </c>
      <c r="K15" s="6" t="s">
        <v>929</v>
      </c>
      <c r="L15" s="6">
        <v>0</v>
      </c>
      <c r="M15" s="44">
        <v>0</v>
      </c>
      <c r="N15" s="6" t="s">
        <v>930</v>
      </c>
      <c r="O15" s="6">
        <v>1</v>
      </c>
      <c r="P15" s="44">
        <v>0.61</v>
      </c>
      <c r="Q15" s="7" t="s">
        <v>931</v>
      </c>
      <c r="R15" s="6">
        <v>0</v>
      </c>
      <c r="S15" s="44">
        <v>0</v>
      </c>
      <c r="T15" s="7" t="s">
        <v>465</v>
      </c>
      <c r="U15" s="6">
        <v>0</v>
      </c>
      <c r="V15" s="44">
        <v>0</v>
      </c>
      <c r="W15" s="7" t="s">
        <v>465</v>
      </c>
    </row>
    <row r="16" spans="1:23" x14ac:dyDescent="0.35">
      <c r="A16" s="201" t="s">
        <v>131</v>
      </c>
      <c r="B16" s="43">
        <v>300</v>
      </c>
      <c r="C16" s="6">
        <v>2</v>
      </c>
      <c r="D16" s="44">
        <v>0.67</v>
      </c>
      <c r="E16" s="7" t="s">
        <v>410</v>
      </c>
      <c r="F16" s="6">
        <v>1</v>
      </c>
      <c r="G16" s="44">
        <v>0.33</v>
      </c>
      <c r="H16" s="7" t="s">
        <v>471</v>
      </c>
      <c r="I16" s="7">
        <v>0</v>
      </c>
      <c r="J16" s="44">
        <v>0</v>
      </c>
      <c r="K16" s="6" t="s">
        <v>920</v>
      </c>
      <c r="L16" s="6">
        <v>0</v>
      </c>
      <c r="M16" s="44">
        <v>0</v>
      </c>
      <c r="N16" s="6" t="s">
        <v>920</v>
      </c>
      <c r="O16" s="6">
        <v>1</v>
      </c>
      <c r="P16" s="44">
        <v>0.33</v>
      </c>
      <c r="Q16" s="7" t="s">
        <v>471</v>
      </c>
      <c r="R16" s="6">
        <v>0</v>
      </c>
      <c r="S16" s="44">
        <v>0</v>
      </c>
      <c r="T16" s="7" t="s">
        <v>444</v>
      </c>
      <c r="U16" s="6">
        <v>0</v>
      </c>
      <c r="V16" s="44">
        <v>0</v>
      </c>
      <c r="W16" s="7" t="s">
        <v>444</v>
      </c>
    </row>
    <row r="17" spans="1:23" x14ac:dyDescent="0.35">
      <c r="A17" s="201" t="s">
        <v>157</v>
      </c>
      <c r="B17" s="43">
        <v>301</v>
      </c>
      <c r="C17" s="6">
        <v>30</v>
      </c>
      <c r="D17" s="44">
        <v>9.9700000000000006</v>
      </c>
      <c r="E17" s="7" t="s">
        <v>932</v>
      </c>
      <c r="F17" s="6">
        <v>29</v>
      </c>
      <c r="G17" s="44">
        <v>9.6300000000000008</v>
      </c>
      <c r="H17" s="7" t="s">
        <v>933</v>
      </c>
      <c r="I17" s="6" t="s">
        <v>119</v>
      </c>
      <c r="J17" s="48" t="s">
        <v>119</v>
      </c>
      <c r="K17" s="7" t="s">
        <v>119</v>
      </c>
      <c r="L17" s="7" t="s">
        <v>119</v>
      </c>
      <c r="M17" s="48" t="s">
        <v>119</v>
      </c>
      <c r="N17" s="7" t="s">
        <v>119</v>
      </c>
      <c r="O17" s="6">
        <v>1</v>
      </c>
      <c r="P17" s="44">
        <v>0.33</v>
      </c>
      <c r="Q17" s="7" t="s">
        <v>471</v>
      </c>
      <c r="R17" s="6">
        <v>0</v>
      </c>
      <c r="S17" s="44">
        <v>0</v>
      </c>
      <c r="T17" s="7" t="s">
        <v>444</v>
      </c>
      <c r="U17" s="6">
        <v>0</v>
      </c>
      <c r="V17" s="44">
        <v>0</v>
      </c>
      <c r="W17" s="7" t="s">
        <v>444</v>
      </c>
    </row>
    <row r="18" spans="1:23" x14ac:dyDescent="0.35">
      <c r="A18" s="201" t="s">
        <v>133</v>
      </c>
      <c r="B18" s="43">
        <v>150</v>
      </c>
      <c r="C18" s="6">
        <v>10</v>
      </c>
      <c r="D18" s="44">
        <v>6.67</v>
      </c>
      <c r="E18" s="7" t="s">
        <v>249</v>
      </c>
      <c r="F18" s="6">
        <v>9</v>
      </c>
      <c r="G18" s="44">
        <v>6</v>
      </c>
      <c r="H18" s="7" t="s">
        <v>459</v>
      </c>
      <c r="I18" s="7">
        <v>3</v>
      </c>
      <c r="J18" s="44">
        <v>2</v>
      </c>
      <c r="K18" s="6" t="s">
        <v>934</v>
      </c>
      <c r="L18" s="6">
        <v>0</v>
      </c>
      <c r="M18" s="44">
        <v>0</v>
      </c>
      <c r="N18" s="6" t="s">
        <v>916</v>
      </c>
      <c r="O18" s="6">
        <v>1</v>
      </c>
      <c r="P18" s="44">
        <v>0.67</v>
      </c>
      <c r="Q18" s="7" t="s">
        <v>840</v>
      </c>
      <c r="R18" s="6">
        <v>0</v>
      </c>
      <c r="S18" s="44">
        <v>0</v>
      </c>
      <c r="T18" s="7" t="s">
        <v>454</v>
      </c>
      <c r="U18" s="6">
        <v>0</v>
      </c>
      <c r="V18" s="44">
        <v>0</v>
      </c>
      <c r="W18" s="7" t="s">
        <v>454</v>
      </c>
    </row>
    <row r="19" spans="1:23" x14ac:dyDescent="0.35">
      <c r="A19" s="201" t="s">
        <v>134</v>
      </c>
      <c r="B19" s="43">
        <v>300</v>
      </c>
      <c r="C19" s="6">
        <v>8</v>
      </c>
      <c r="D19" s="44">
        <v>5.33</v>
      </c>
      <c r="E19" s="7" t="s">
        <v>935</v>
      </c>
      <c r="F19" s="6">
        <v>8</v>
      </c>
      <c r="G19" s="44">
        <v>5.33</v>
      </c>
      <c r="H19" s="7" t="s">
        <v>935</v>
      </c>
      <c r="I19" s="7">
        <v>1</v>
      </c>
      <c r="J19" s="44">
        <v>0.66666666666666696</v>
      </c>
      <c r="K19" s="6" t="s">
        <v>936</v>
      </c>
      <c r="L19" s="6">
        <v>0</v>
      </c>
      <c r="M19" s="44">
        <v>0</v>
      </c>
      <c r="N19" s="6" t="s">
        <v>920</v>
      </c>
      <c r="O19" s="6">
        <v>0</v>
      </c>
      <c r="P19" s="44">
        <v>0</v>
      </c>
      <c r="Q19" s="7" t="s">
        <v>444</v>
      </c>
      <c r="R19" s="6">
        <v>0</v>
      </c>
      <c r="S19" s="44">
        <v>0</v>
      </c>
      <c r="T19" s="7" t="s">
        <v>444</v>
      </c>
      <c r="U19" s="6">
        <v>0</v>
      </c>
      <c r="V19" s="44">
        <v>0</v>
      </c>
      <c r="W19" s="7" t="s">
        <v>444</v>
      </c>
    </row>
    <row r="20" spans="1:23" x14ac:dyDescent="0.35">
      <c r="A20" s="201" t="s">
        <v>135</v>
      </c>
      <c r="B20" s="43">
        <v>96</v>
      </c>
      <c r="C20" s="6">
        <v>4</v>
      </c>
      <c r="D20" s="44">
        <v>4.17</v>
      </c>
      <c r="E20" s="7" t="s">
        <v>937</v>
      </c>
      <c r="F20" s="6">
        <v>2</v>
      </c>
      <c r="G20" s="44">
        <v>2.08</v>
      </c>
      <c r="H20" s="7" t="s">
        <v>938</v>
      </c>
      <c r="I20" s="7">
        <v>0</v>
      </c>
      <c r="J20" s="44">
        <v>0</v>
      </c>
      <c r="K20" s="6" t="s">
        <v>939</v>
      </c>
      <c r="L20" s="6">
        <v>0</v>
      </c>
      <c r="M20" s="44">
        <v>0</v>
      </c>
      <c r="N20" s="6" t="s">
        <v>939</v>
      </c>
      <c r="O20" s="6">
        <v>2</v>
      </c>
      <c r="P20" s="44">
        <v>2.08</v>
      </c>
      <c r="Q20" s="7" t="s">
        <v>938</v>
      </c>
      <c r="R20" s="6">
        <v>0</v>
      </c>
      <c r="S20" s="44">
        <v>0</v>
      </c>
      <c r="T20" s="7" t="s">
        <v>940</v>
      </c>
      <c r="U20" s="6">
        <v>0</v>
      </c>
      <c r="V20" s="44">
        <v>0</v>
      </c>
      <c r="W20" s="7" t="s">
        <v>940</v>
      </c>
    </row>
    <row r="21" spans="1:23" x14ac:dyDescent="0.35">
      <c r="A21" s="201" t="s">
        <v>136</v>
      </c>
      <c r="B21" s="43">
        <v>150</v>
      </c>
      <c r="C21" s="6">
        <v>5</v>
      </c>
      <c r="D21" s="44">
        <v>4</v>
      </c>
      <c r="E21" s="7" t="s">
        <v>254</v>
      </c>
      <c r="F21" s="6">
        <v>5</v>
      </c>
      <c r="G21" s="44">
        <v>4</v>
      </c>
      <c r="H21" s="7" t="s">
        <v>254</v>
      </c>
      <c r="I21" s="7">
        <v>0</v>
      </c>
      <c r="J21" s="44">
        <v>0</v>
      </c>
      <c r="K21" s="6" t="s">
        <v>916</v>
      </c>
      <c r="L21" s="6">
        <v>0</v>
      </c>
      <c r="M21" s="44">
        <v>0</v>
      </c>
      <c r="N21" s="6" t="s">
        <v>916</v>
      </c>
      <c r="O21" s="6">
        <v>0</v>
      </c>
      <c r="P21" s="44">
        <v>0</v>
      </c>
      <c r="Q21" s="7" t="s">
        <v>454</v>
      </c>
      <c r="R21" s="6">
        <v>0</v>
      </c>
      <c r="S21" s="44">
        <v>0</v>
      </c>
      <c r="T21" s="7" t="s">
        <v>454</v>
      </c>
      <c r="U21" s="6">
        <v>0</v>
      </c>
      <c r="V21" s="44">
        <v>0</v>
      </c>
      <c r="W21" s="7" t="s">
        <v>454</v>
      </c>
    </row>
    <row r="22" spans="1:23" x14ac:dyDescent="0.35">
      <c r="A22" s="201" t="s">
        <v>137</v>
      </c>
      <c r="B22" s="43">
        <v>284</v>
      </c>
      <c r="C22" s="6">
        <v>1</v>
      </c>
      <c r="D22" s="44">
        <v>0.35</v>
      </c>
      <c r="E22" s="7" t="s">
        <v>941</v>
      </c>
      <c r="F22" s="6">
        <v>1</v>
      </c>
      <c r="G22" s="44">
        <v>0.35</v>
      </c>
      <c r="H22" s="7" t="s">
        <v>941</v>
      </c>
      <c r="I22" s="6" t="s">
        <v>119</v>
      </c>
      <c r="J22" s="48" t="s">
        <v>119</v>
      </c>
      <c r="K22" s="7" t="s">
        <v>119</v>
      </c>
      <c r="L22" s="7" t="s">
        <v>119</v>
      </c>
      <c r="M22" s="48" t="s">
        <v>119</v>
      </c>
      <c r="N22" s="7" t="s">
        <v>119</v>
      </c>
      <c r="O22" s="6">
        <v>0</v>
      </c>
      <c r="P22" s="44">
        <v>0</v>
      </c>
      <c r="Q22" s="7" t="s">
        <v>397</v>
      </c>
      <c r="R22" s="6">
        <v>0</v>
      </c>
      <c r="S22" s="44">
        <v>0</v>
      </c>
      <c r="T22" s="7" t="s">
        <v>397</v>
      </c>
      <c r="U22" s="6">
        <v>0</v>
      </c>
      <c r="V22" s="44">
        <v>0</v>
      </c>
      <c r="W22" s="7" t="s">
        <v>397</v>
      </c>
    </row>
    <row r="23" spans="1:23" x14ac:dyDescent="0.35">
      <c r="A23" s="201" t="s">
        <v>138</v>
      </c>
      <c r="B23" s="43">
        <v>309</v>
      </c>
      <c r="C23" s="6">
        <v>13</v>
      </c>
      <c r="D23" s="44">
        <v>4.21</v>
      </c>
      <c r="E23" s="7" t="s">
        <v>314</v>
      </c>
      <c r="F23" s="6">
        <v>11</v>
      </c>
      <c r="G23" s="44">
        <v>3.56</v>
      </c>
      <c r="H23" s="7" t="s">
        <v>942</v>
      </c>
      <c r="I23" s="7">
        <v>2</v>
      </c>
      <c r="J23" s="44">
        <v>0.64724919093851097</v>
      </c>
      <c r="K23" s="6" t="s">
        <v>919</v>
      </c>
      <c r="L23" s="6">
        <v>0</v>
      </c>
      <c r="M23" s="44">
        <v>0</v>
      </c>
      <c r="N23" s="6" t="s">
        <v>920</v>
      </c>
      <c r="O23" s="6">
        <v>2</v>
      </c>
      <c r="P23" s="44">
        <v>0.65</v>
      </c>
      <c r="Q23" s="7" t="s">
        <v>613</v>
      </c>
      <c r="R23" s="6">
        <v>0</v>
      </c>
      <c r="S23" s="44">
        <v>0</v>
      </c>
      <c r="T23" s="7" t="s">
        <v>444</v>
      </c>
      <c r="U23" s="6">
        <v>0</v>
      </c>
      <c r="V23" s="44">
        <v>0</v>
      </c>
      <c r="W23" s="7" t="s">
        <v>444</v>
      </c>
    </row>
    <row r="24" spans="1:23" x14ac:dyDescent="0.35">
      <c r="A24" s="201" t="s">
        <v>139</v>
      </c>
      <c r="B24" s="43">
        <v>277</v>
      </c>
      <c r="C24" s="6">
        <v>32</v>
      </c>
      <c r="D24" s="44">
        <v>11.55</v>
      </c>
      <c r="E24" s="7" t="s">
        <v>943</v>
      </c>
      <c r="F24" s="6">
        <v>25</v>
      </c>
      <c r="G24" s="44">
        <v>9.0299999999999994</v>
      </c>
      <c r="H24" s="7" t="s">
        <v>944</v>
      </c>
      <c r="I24" s="7">
        <v>5</v>
      </c>
      <c r="J24" s="44">
        <v>1.80505415162455</v>
      </c>
      <c r="K24" s="6" t="s">
        <v>945</v>
      </c>
      <c r="L24" s="6">
        <v>0</v>
      </c>
      <c r="M24" s="44">
        <v>0</v>
      </c>
      <c r="N24" s="6" t="s">
        <v>946</v>
      </c>
      <c r="O24" s="6">
        <v>4</v>
      </c>
      <c r="P24" s="44">
        <v>1.44</v>
      </c>
      <c r="Q24" s="7" t="s">
        <v>947</v>
      </c>
      <c r="R24" s="6">
        <v>3</v>
      </c>
      <c r="S24" s="44">
        <v>1.08</v>
      </c>
      <c r="T24" s="7" t="s">
        <v>560</v>
      </c>
      <c r="U24" s="6">
        <v>0</v>
      </c>
      <c r="V24" s="44">
        <v>0</v>
      </c>
      <c r="W24" s="7" t="s">
        <v>397</v>
      </c>
    </row>
    <row r="25" spans="1:23" x14ac:dyDescent="0.35">
      <c r="A25" s="201" t="s">
        <v>140</v>
      </c>
      <c r="B25" s="43">
        <v>303</v>
      </c>
      <c r="C25" s="6">
        <v>24</v>
      </c>
      <c r="D25" s="44">
        <v>7.92</v>
      </c>
      <c r="E25" s="7" t="s">
        <v>948</v>
      </c>
      <c r="F25" s="6">
        <v>23</v>
      </c>
      <c r="G25" s="44">
        <v>7.59</v>
      </c>
      <c r="H25" s="7" t="s">
        <v>949</v>
      </c>
      <c r="I25" s="7">
        <v>1</v>
      </c>
      <c r="J25" s="44">
        <v>0.33003300330032997</v>
      </c>
      <c r="K25" s="6" t="s">
        <v>950</v>
      </c>
      <c r="L25" s="6">
        <v>0</v>
      </c>
      <c r="M25" s="44">
        <v>0</v>
      </c>
      <c r="N25" s="6" t="s">
        <v>920</v>
      </c>
      <c r="O25" s="6">
        <v>1</v>
      </c>
      <c r="P25" s="44">
        <v>0.33</v>
      </c>
      <c r="Q25" s="7" t="s">
        <v>471</v>
      </c>
      <c r="R25" s="6">
        <v>0</v>
      </c>
      <c r="S25" s="44">
        <v>0</v>
      </c>
      <c r="T25" s="7" t="s">
        <v>444</v>
      </c>
      <c r="U25" s="6">
        <v>0</v>
      </c>
      <c r="V25" s="44">
        <v>0</v>
      </c>
      <c r="W25" s="7" t="s">
        <v>444</v>
      </c>
    </row>
    <row r="26" spans="1:23" x14ac:dyDescent="0.35">
      <c r="A26" s="201" t="s">
        <v>141</v>
      </c>
      <c r="B26" s="43">
        <v>149</v>
      </c>
      <c r="C26" s="6">
        <v>1</v>
      </c>
      <c r="D26" s="44">
        <v>0.67</v>
      </c>
      <c r="E26" s="7" t="s">
        <v>840</v>
      </c>
      <c r="F26" s="6">
        <v>1</v>
      </c>
      <c r="G26" s="44">
        <v>0.67</v>
      </c>
      <c r="H26" s="7" t="s">
        <v>840</v>
      </c>
      <c r="I26" s="7">
        <v>0</v>
      </c>
      <c r="J26" s="44">
        <v>0</v>
      </c>
      <c r="K26" s="6" t="s">
        <v>916</v>
      </c>
      <c r="L26" s="6">
        <v>0</v>
      </c>
      <c r="M26" s="44">
        <v>0</v>
      </c>
      <c r="N26" s="6" t="s">
        <v>916</v>
      </c>
      <c r="O26" s="6">
        <v>0</v>
      </c>
      <c r="P26" s="44">
        <v>0</v>
      </c>
      <c r="Q26" s="7" t="s">
        <v>885</v>
      </c>
      <c r="R26" s="6">
        <v>0</v>
      </c>
      <c r="S26" s="44">
        <v>0</v>
      </c>
      <c r="T26" s="7" t="s">
        <v>885</v>
      </c>
      <c r="U26" s="6">
        <v>0</v>
      </c>
      <c r="V26" s="44">
        <v>0</v>
      </c>
      <c r="W26" s="7" t="s">
        <v>885</v>
      </c>
    </row>
    <row r="27" spans="1:23" x14ac:dyDescent="0.35">
      <c r="A27" s="201" t="s">
        <v>142</v>
      </c>
      <c r="B27" s="43">
        <v>153</v>
      </c>
      <c r="C27" s="6">
        <v>13</v>
      </c>
      <c r="D27" s="44">
        <v>8.5</v>
      </c>
      <c r="E27" s="7" t="s">
        <v>951</v>
      </c>
      <c r="F27" s="6">
        <v>6</v>
      </c>
      <c r="G27" s="44">
        <v>3.92</v>
      </c>
      <c r="H27" s="7" t="s">
        <v>952</v>
      </c>
      <c r="I27" s="7">
        <v>3</v>
      </c>
      <c r="J27" s="44">
        <v>1.9607843137254899</v>
      </c>
      <c r="K27" s="6" t="s">
        <v>953</v>
      </c>
      <c r="L27" s="6">
        <v>0</v>
      </c>
      <c r="M27" s="44">
        <v>0</v>
      </c>
      <c r="N27" s="6" t="s">
        <v>916</v>
      </c>
      <c r="O27" s="6">
        <v>7</v>
      </c>
      <c r="P27" s="44">
        <v>4.58</v>
      </c>
      <c r="Q27" s="7" t="s">
        <v>804</v>
      </c>
      <c r="R27" s="6">
        <v>0</v>
      </c>
      <c r="S27" s="44">
        <v>0</v>
      </c>
      <c r="T27" s="7" t="s">
        <v>454</v>
      </c>
      <c r="U27" s="6">
        <v>0</v>
      </c>
      <c r="V27" s="44">
        <v>0</v>
      </c>
      <c r="W27" s="7" t="s">
        <v>454</v>
      </c>
    </row>
    <row r="28" spans="1:23" x14ac:dyDescent="0.35">
      <c r="A28" s="201" t="s">
        <v>143</v>
      </c>
      <c r="B28" s="43">
        <v>297</v>
      </c>
      <c r="C28" s="6">
        <v>11</v>
      </c>
      <c r="D28" s="44">
        <v>3.7</v>
      </c>
      <c r="E28" s="7" t="s">
        <v>954</v>
      </c>
      <c r="F28" s="6">
        <v>9</v>
      </c>
      <c r="G28" s="44">
        <v>3.03</v>
      </c>
      <c r="H28" s="7" t="s">
        <v>955</v>
      </c>
      <c r="I28" s="7">
        <v>1</v>
      </c>
      <c r="J28" s="44">
        <v>0.336700336700337</v>
      </c>
      <c r="K28" s="6" t="s">
        <v>956</v>
      </c>
      <c r="L28" s="6">
        <v>0</v>
      </c>
      <c r="M28" s="44">
        <v>0</v>
      </c>
      <c r="N28" s="6" t="s">
        <v>920</v>
      </c>
      <c r="O28" s="6">
        <v>0</v>
      </c>
      <c r="P28" s="44">
        <v>0</v>
      </c>
      <c r="Q28" s="7" t="s">
        <v>444</v>
      </c>
      <c r="R28" s="6">
        <v>2</v>
      </c>
      <c r="S28" s="44">
        <v>0.67</v>
      </c>
      <c r="T28" s="7" t="s">
        <v>410</v>
      </c>
      <c r="U28" s="6">
        <v>0</v>
      </c>
      <c r="V28" s="44">
        <v>0</v>
      </c>
      <c r="W28" s="7" t="s">
        <v>444</v>
      </c>
    </row>
    <row r="29" spans="1:23" x14ac:dyDescent="0.35">
      <c r="A29" s="202" t="s">
        <v>144</v>
      </c>
      <c r="B29" s="141">
        <v>304</v>
      </c>
      <c r="C29" s="143">
        <v>0</v>
      </c>
      <c r="D29" s="142">
        <v>0</v>
      </c>
      <c r="E29" s="147" t="s">
        <v>444</v>
      </c>
      <c r="F29" s="143">
        <v>0</v>
      </c>
      <c r="G29" s="142">
        <v>0</v>
      </c>
      <c r="H29" s="147" t="s">
        <v>444</v>
      </c>
      <c r="I29" s="147">
        <v>0</v>
      </c>
      <c r="J29" s="142">
        <v>0</v>
      </c>
      <c r="K29" s="143" t="s">
        <v>920</v>
      </c>
      <c r="L29" s="143">
        <v>0</v>
      </c>
      <c r="M29" s="142">
        <v>0</v>
      </c>
      <c r="N29" s="143" t="s">
        <v>920</v>
      </c>
      <c r="O29" s="143">
        <v>0</v>
      </c>
      <c r="P29" s="142">
        <v>0</v>
      </c>
      <c r="Q29" s="147" t="s">
        <v>444</v>
      </c>
      <c r="R29" s="143">
        <v>0</v>
      </c>
      <c r="S29" s="142">
        <v>0</v>
      </c>
      <c r="T29" s="147" t="s">
        <v>444</v>
      </c>
      <c r="U29" s="143">
        <v>0</v>
      </c>
      <c r="V29" s="142">
        <v>0</v>
      </c>
      <c r="W29" s="147" t="s">
        <v>444</v>
      </c>
    </row>
    <row r="30" spans="1:23" ht="15" thickBot="1" x14ac:dyDescent="0.4">
      <c r="A30" s="201" t="s">
        <v>700</v>
      </c>
      <c r="B30" s="43">
        <v>98</v>
      </c>
      <c r="C30" s="6">
        <v>2</v>
      </c>
      <c r="D30" s="44">
        <v>2.04</v>
      </c>
      <c r="E30" s="7" t="s">
        <v>957</v>
      </c>
      <c r="F30" s="6">
        <v>2</v>
      </c>
      <c r="G30" s="44">
        <v>2.04</v>
      </c>
      <c r="H30" s="7" t="s">
        <v>957</v>
      </c>
      <c r="I30" s="7" t="s">
        <v>119</v>
      </c>
      <c r="J30" s="48" t="s">
        <v>119</v>
      </c>
      <c r="K30" s="7" t="s">
        <v>119</v>
      </c>
      <c r="L30" s="7" t="s">
        <v>119</v>
      </c>
      <c r="M30" s="48" t="s">
        <v>119</v>
      </c>
      <c r="N30" s="7" t="s">
        <v>119</v>
      </c>
      <c r="O30" s="6">
        <v>0</v>
      </c>
      <c r="P30" s="44">
        <v>0</v>
      </c>
      <c r="Q30" s="7" t="s">
        <v>840</v>
      </c>
      <c r="R30" s="6">
        <v>0</v>
      </c>
      <c r="S30" s="44">
        <v>0</v>
      </c>
      <c r="T30" s="7" t="s">
        <v>840</v>
      </c>
      <c r="U30" s="6">
        <v>0</v>
      </c>
      <c r="V30" s="44">
        <v>0</v>
      </c>
      <c r="W30" s="7" t="s">
        <v>840</v>
      </c>
    </row>
    <row r="31" spans="1:23" ht="15" thickBot="1" x14ac:dyDescent="0.4">
      <c r="A31" s="217" t="s">
        <v>958</v>
      </c>
      <c r="B31" s="90">
        <f>SUM(B3:B30)</f>
        <v>6460</v>
      </c>
      <c r="C31" s="90">
        <f>SUM(C3:C30)</f>
        <v>270</v>
      </c>
      <c r="D31" s="81">
        <v>4.43</v>
      </c>
      <c r="E31" s="76" t="s">
        <v>959</v>
      </c>
      <c r="F31" s="90">
        <f>SUM(F3:F30)</f>
        <v>235</v>
      </c>
      <c r="G31" s="81">
        <v>3.85</v>
      </c>
      <c r="H31" s="76" t="s">
        <v>960</v>
      </c>
      <c r="I31" s="90">
        <f>SUM(I3:I30)</f>
        <v>34</v>
      </c>
      <c r="J31" s="81">
        <v>0.85030458671762998</v>
      </c>
      <c r="K31" s="82" t="s">
        <v>961</v>
      </c>
      <c r="L31" s="90">
        <f>SUM(L3:L30)</f>
        <v>0</v>
      </c>
      <c r="M31" s="81">
        <v>0</v>
      </c>
      <c r="N31" s="82" t="s">
        <v>962</v>
      </c>
      <c r="O31" s="90">
        <f>SUM(O3:O30)</f>
        <v>29</v>
      </c>
      <c r="P31" s="81">
        <v>0.48</v>
      </c>
      <c r="Q31" s="76" t="s">
        <v>542</v>
      </c>
      <c r="R31" s="90">
        <f>SUM(R3:R30)</f>
        <v>6</v>
      </c>
      <c r="S31" s="81">
        <v>0.1</v>
      </c>
      <c r="T31" s="76" t="s">
        <v>608</v>
      </c>
      <c r="U31" s="90">
        <f>SUM(U3:U30)</f>
        <v>0</v>
      </c>
      <c r="V31" s="81">
        <v>0</v>
      </c>
      <c r="W31" s="76" t="s">
        <v>544</v>
      </c>
    </row>
    <row r="32" spans="1:23" x14ac:dyDescent="0.35">
      <c r="A32" s="202" t="s">
        <v>148</v>
      </c>
      <c r="B32" s="141">
        <v>286</v>
      </c>
      <c r="C32" s="143">
        <v>0</v>
      </c>
      <c r="D32" s="142">
        <v>0</v>
      </c>
      <c r="E32" s="147" t="s">
        <v>397</v>
      </c>
      <c r="F32" s="143">
        <v>0</v>
      </c>
      <c r="G32" s="142">
        <v>0</v>
      </c>
      <c r="H32" s="147" t="s">
        <v>397</v>
      </c>
      <c r="I32" s="147">
        <v>0</v>
      </c>
      <c r="J32" s="142">
        <v>0</v>
      </c>
      <c r="K32" s="143" t="s">
        <v>946</v>
      </c>
      <c r="L32" s="143">
        <v>0</v>
      </c>
      <c r="M32" s="142">
        <v>0</v>
      </c>
      <c r="N32" s="143" t="s">
        <v>946</v>
      </c>
      <c r="O32" s="143">
        <v>0</v>
      </c>
      <c r="P32" s="142">
        <v>0</v>
      </c>
      <c r="Q32" s="147" t="s">
        <v>397</v>
      </c>
      <c r="R32" s="143">
        <v>0</v>
      </c>
      <c r="S32" s="142">
        <v>0</v>
      </c>
      <c r="T32" s="147" t="s">
        <v>397</v>
      </c>
      <c r="U32" s="143">
        <v>0</v>
      </c>
      <c r="V32" s="142">
        <v>0</v>
      </c>
      <c r="W32" s="147" t="s">
        <v>397</v>
      </c>
    </row>
    <row r="33" spans="1:23" ht="15" thickBot="1" x14ac:dyDescent="0.4">
      <c r="A33" s="201" t="s">
        <v>150</v>
      </c>
      <c r="B33" s="43">
        <v>366</v>
      </c>
      <c r="C33" s="6">
        <v>2</v>
      </c>
      <c r="D33" s="44">
        <v>0.55000000000000004</v>
      </c>
      <c r="E33" s="7" t="s">
        <v>963</v>
      </c>
      <c r="F33" s="6">
        <v>2</v>
      </c>
      <c r="G33" s="44">
        <v>0.55000000000000004</v>
      </c>
      <c r="H33" s="7" t="s">
        <v>963</v>
      </c>
      <c r="I33" s="7">
        <v>0</v>
      </c>
      <c r="J33" s="44">
        <v>0</v>
      </c>
      <c r="K33" s="6" t="s">
        <v>964</v>
      </c>
      <c r="L33" s="6">
        <v>0</v>
      </c>
      <c r="M33" s="44">
        <v>0</v>
      </c>
      <c r="N33" s="6" t="s">
        <v>964</v>
      </c>
      <c r="O33" s="6">
        <v>0</v>
      </c>
      <c r="P33" s="44">
        <v>0</v>
      </c>
      <c r="Q33" s="7" t="s">
        <v>923</v>
      </c>
      <c r="R33" s="6">
        <v>0</v>
      </c>
      <c r="S33" s="44">
        <v>0</v>
      </c>
      <c r="T33" s="7" t="s">
        <v>923</v>
      </c>
      <c r="U33" s="6">
        <v>0</v>
      </c>
      <c r="V33" s="44">
        <v>0</v>
      </c>
      <c r="W33" s="7" t="s">
        <v>923</v>
      </c>
    </row>
    <row r="34" spans="1:23" ht="15" thickBot="1" x14ac:dyDescent="0.4">
      <c r="A34" s="203" t="s">
        <v>173</v>
      </c>
      <c r="B34" s="90">
        <f>SUM(B32:B33)</f>
        <v>652</v>
      </c>
      <c r="C34" s="90">
        <f>SUM(C32:C33)</f>
        <v>2</v>
      </c>
      <c r="D34" s="81">
        <v>0.3</v>
      </c>
      <c r="E34" s="83" t="s">
        <v>486</v>
      </c>
      <c r="F34" s="90">
        <f>SUM(F32:F33)</f>
        <v>2</v>
      </c>
      <c r="G34" s="81">
        <v>0.3</v>
      </c>
      <c r="H34" s="83" t="s">
        <v>486</v>
      </c>
      <c r="I34" s="90">
        <f>SUM(I32:I33)</f>
        <v>0</v>
      </c>
      <c r="J34" s="81">
        <v>0</v>
      </c>
      <c r="K34" s="83" t="s">
        <v>902</v>
      </c>
      <c r="L34" s="90">
        <f>SUM(L32:L33)</f>
        <v>0</v>
      </c>
      <c r="M34" s="81">
        <v>0</v>
      </c>
      <c r="N34" s="83" t="s">
        <v>902</v>
      </c>
      <c r="O34" s="90">
        <f>SUM(O32:O33)</f>
        <v>0</v>
      </c>
      <c r="P34" s="81">
        <v>0</v>
      </c>
      <c r="Q34" s="83" t="s">
        <v>902</v>
      </c>
      <c r="R34" s="90">
        <f>SUM(R32:R33)</f>
        <v>0</v>
      </c>
      <c r="S34" s="81">
        <v>0</v>
      </c>
      <c r="T34" s="83" t="s">
        <v>902</v>
      </c>
      <c r="U34" s="90">
        <f>SUM(U32:U33)</f>
        <v>0</v>
      </c>
      <c r="V34" s="81">
        <v>0</v>
      </c>
      <c r="W34" s="83" t="s">
        <v>902</v>
      </c>
    </row>
    <row r="35" spans="1:23" ht="15" thickBot="1" x14ac:dyDescent="0.4">
      <c r="A35" s="200" t="s">
        <v>903</v>
      </c>
      <c r="B35" s="93">
        <f>SUM(B31,B34)</f>
        <v>7112</v>
      </c>
      <c r="C35" s="93">
        <f>SUM(C31,C34)</f>
        <v>272</v>
      </c>
      <c r="D35" s="94">
        <v>4</v>
      </c>
      <c r="E35" s="102" t="s">
        <v>965</v>
      </c>
      <c r="F35" s="93">
        <f>SUM(F31,F34)</f>
        <v>237</v>
      </c>
      <c r="G35" s="94">
        <v>3.5</v>
      </c>
      <c r="H35" s="102" t="s">
        <v>966</v>
      </c>
      <c r="I35" s="93">
        <f>SUM(I31,I34)</f>
        <v>34</v>
      </c>
      <c r="J35" s="94">
        <v>0.7</v>
      </c>
      <c r="K35" s="102" t="s">
        <v>813</v>
      </c>
      <c r="L35" s="93">
        <f>SUM(L31,L34)</f>
        <v>0</v>
      </c>
      <c r="M35" s="94">
        <v>0</v>
      </c>
      <c r="N35" s="102" t="s">
        <v>544</v>
      </c>
      <c r="O35" s="93">
        <f>SUM(O31,O34)</f>
        <v>29</v>
      </c>
      <c r="P35" s="94">
        <v>0.4</v>
      </c>
      <c r="Q35" s="102" t="s">
        <v>967</v>
      </c>
      <c r="R35" s="93">
        <f>SUM(R31,R34)</f>
        <v>6</v>
      </c>
      <c r="S35" s="94">
        <v>0.1</v>
      </c>
      <c r="T35" s="102" t="s">
        <v>608</v>
      </c>
      <c r="U35" s="93">
        <f>SUM(U31,U34)</f>
        <v>0</v>
      </c>
      <c r="V35" s="94">
        <v>0</v>
      </c>
      <c r="W35" s="102" t="s">
        <v>544</v>
      </c>
    </row>
    <row r="37" spans="1:23" x14ac:dyDescent="0.35">
      <c r="B37" s="206"/>
      <c r="C37" s="245" t="s">
        <v>326</v>
      </c>
      <c r="D37" s="246"/>
      <c r="E37" s="246"/>
      <c r="F37" s="246"/>
      <c r="G37" s="246"/>
      <c r="H37" s="246"/>
      <c r="I37" s="246"/>
      <c r="J37" s="248"/>
      <c r="K37" s="60"/>
    </row>
    <row r="38" spans="1:23" x14ac:dyDescent="0.35">
      <c r="B38" s="165" t="s">
        <v>153</v>
      </c>
      <c r="C38" s="249" t="s">
        <v>154</v>
      </c>
      <c r="D38" s="250"/>
      <c r="E38" s="250"/>
      <c r="F38" s="250"/>
      <c r="G38" s="250"/>
      <c r="H38" s="250"/>
      <c r="I38" s="250"/>
      <c r="J38" s="252"/>
      <c r="K38" s="60"/>
    </row>
  </sheetData>
  <mergeCells count="11">
    <mergeCell ref="U1:W1"/>
    <mergeCell ref="C37:J37"/>
    <mergeCell ref="C38:J38"/>
    <mergeCell ref="L1:N1"/>
    <mergeCell ref="O1:Q1"/>
    <mergeCell ref="R1:T1"/>
    <mergeCell ref="A1:A2"/>
    <mergeCell ref="B1:B2"/>
    <mergeCell ref="C1:E1"/>
    <mergeCell ref="F1:H1"/>
    <mergeCell ref="I1:K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5">
    <tabColor theme="9" tint="0.79998168889431442"/>
  </sheetPr>
  <dimension ref="A1:S37"/>
  <sheetViews>
    <sheetView zoomScale="80" zoomScaleNormal="80" workbookViewId="0">
      <pane ySplit="2" topLeftCell="A3" activePane="bottomLeft" state="frozen"/>
      <selection pane="bottomLeft" activeCell="E31" sqref="E31"/>
    </sheetView>
  </sheetViews>
  <sheetFormatPr defaultColWidth="10.6328125" defaultRowHeight="14.5" x14ac:dyDescent="0.35"/>
  <cols>
    <col min="1" max="1" width="32.54296875" customWidth="1"/>
    <col min="3" max="18" width="12.81640625" customWidth="1"/>
  </cols>
  <sheetData>
    <row r="1" spans="1:18" ht="17" thickBot="1" x14ac:dyDescent="0.4">
      <c r="A1" s="263" t="s">
        <v>108</v>
      </c>
      <c r="B1" s="263" t="s">
        <v>87</v>
      </c>
      <c r="C1" s="231" t="s">
        <v>109</v>
      </c>
      <c r="D1" s="231"/>
      <c r="E1" s="230" t="s">
        <v>110</v>
      </c>
      <c r="F1" s="230"/>
      <c r="G1" s="230" t="s">
        <v>111</v>
      </c>
      <c r="H1" s="230"/>
      <c r="I1" s="230" t="s">
        <v>112</v>
      </c>
      <c r="J1" s="230"/>
      <c r="K1" s="230" t="s">
        <v>113</v>
      </c>
      <c r="L1" s="230"/>
      <c r="M1" s="230" t="s">
        <v>114</v>
      </c>
      <c r="N1" s="230"/>
      <c r="O1" s="230" t="s">
        <v>115</v>
      </c>
      <c r="P1" s="230"/>
      <c r="Q1" s="262" t="s">
        <v>1020</v>
      </c>
      <c r="R1" s="262"/>
    </row>
    <row r="2" spans="1:18" ht="15" thickBot="1" x14ac:dyDescent="0.4">
      <c r="A2" s="230"/>
      <c r="B2" s="230"/>
      <c r="C2" s="131" t="s">
        <v>83</v>
      </c>
      <c r="D2" s="131" t="s">
        <v>94</v>
      </c>
      <c r="E2" s="131" t="s">
        <v>83</v>
      </c>
      <c r="F2" s="131" t="s">
        <v>94</v>
      </c>
      <c r="G2" s="131" t="s">
        <v>83</v>
      </c>
      <c r="H2" s="131" t="s">
        <v>94</v>
      </c>
      <c r="I2" s="131" t="s">
        <v>83</v>
      </c>
      <c r="J2" s="131" t="s">
        <v>94</v>
      </c>
      <c r="K2" s="131" t="s">
        <v>83</v>
      </c>
      <c r="L2" s="131" t="s">
        <v>94</v>
      </c>
      <c r="M2" s="131" t="s">
        <v>83</v>
      </c>
      <c r="N2" s="131" t="s">
        <v>94</v>
      </c>
      <c r="O2" s="131" t="s">
        <v>83</v>
      </c>
      <c r="P2" s="131" t="s">
        <v>94</v>
      </c>
      <c r="Q2" s="131" t="s">
        <v>83</v>
      </c>
      <c r="R2" s="131" t="s">
        <v>94</v>
      </c>
    </row>
    <row r="3" spans="1:18" x14ac:dyDescent="0.35">
      <c r="A3" s="24" t="s">
        <v>177</v>
      </c>
      <c r="B3" s="47">
        <v>50</v>
      </c>
      <c r="C3" s="47">
        <v>49</v>
      </c>
      <c r="D3" s="48">
        <f>(C3/B3)*100</f>
        <v>98</v>
      </c>
      <c r="E3" s="219">
        <v>34</v>
      </c>
      <c r="F3" s="44">
        <f>(E3/B3)*100</f>
        <v>68</v>
      </c>
      <c r="G3" s="6" t="s">
        <v>128</v>
      </c>
      <c r="H3" s="44" t="s">
        <v>128</v>
      </c>
      <c r="I3" s="6" t="s">
        <v>128</v>
      </c>
      <c r="J3" s="44" t="s">
        <v>128</v>
      </c>
      <c r="K3" s="219">
        <v>15</v>
      </c>
      <c r="L3" s="44">
        <f>(K3/B3)*100</f>
        <v>30</v>
      </c>
      <c r="M3" s="219">
        <v>0</v>
      </c>
      <c r="N3" s="44">
        <f>(M3/B3)*100</f>
        <v>0</v>
      </c>
      <c r="O3" s="219">
        <v>1</v>
      </c>
      <c r="P3" s="44">
        <f>(O3/B3)*100</f>
        <v>2</v>
      </c>
      <c r="Q3" s="6" t="s">
        <v>128</v>
      </c>
      <c r="R3" s="44" t="s">
        <v>128</v>
      </c>
    </row>
    <row r="4" spans="1:18" x14ac:dyDescent="0.35">
      <c r="A4" s="25" t="s">
        <v>183</v>
      </c>
      <c r="B4" s="51">
        <v>179</v>
      </c>
      <c r="C4" s="51">
        <v>178</v>
      </c>
      <c r="D4" s="48">
        <f t="shared" ref="D4:D35" si="0">(C4/B4)*100</f>
        <v>99.441340782122893</v>
      </c>
      <c r="E4" s="43">
        <v>173</v>
      </c>
      <c r="F4" s="44">
        <f t="shared" ref="F4:F35" si="1">(E4/B4)*100</f>
        <v>96.648044692737429</v>
      </c>
      <c r="G4" s="6" t="s">
        <v>128</v>
      </c>
      <c r="H4" s="44" t="s">
        <v>128</v>
      </c>
      <c r="I4" s="6" t="s">
        <v>128</v>
      </c>
      <c r="J4" s="44" t="s">
        <v>128</v>
      </c>
      <c r="K4" s="43">
        <v>5</v>
      </c>
      <c r="L4" s="44">
        <f t="shared" ref="L4:L35" si="2">(K4/B4)*100</f>
        <v>2.7932960893854748</v>
      </c>
      <c r="M4" s="43">
        <v>0</v>
      </c>
      <c r="N4" s="44">
        <f t="shared" ref="N4:N35" si="3">(M4/B4)*100</f>
        <v>0</v>
      </c>
      <c r="O4" s="43">
        <v>0</v>
      </c>
      <c r="P4" s="44">
        <f t="shared" ref="P4:P35" si="4">(O4/B4)*100</f>
        <v>0</v>
      </c>
      <c r="Q4" s="6" t="s">
        <v>128</v>
      </c>
      <c r="R4" s="44" t="s">
        <v>128</v>
      </c>
    </row>
    <row r="5" spans="1:18" x14ac:dyDescent="0.35">
      <c r="A5" s="25" t="s">
        <v>118</v>
      </c>
      <c r="B5" s="51">
        <v>208</v>
      </c>
      <c r="C5" s="51">
        <v>207</v>
      </c>
      <c r="D5" s="48">
        <f t="shared" si="0"/>
        <v>99.519230769230774</v>
      </c>
      <c r="E5" s="43">
        <v>153</v>
      </c>
      <c r="F5" s="44">
        <f t="shared" si="1"/>
        <v>73.557692307692307</v>
      </c>
      <c r="G5" s="6">
        <v>39</v>
      </c>
      <c r="H5" s="44">
        <f>(G5/B5)*100</f>
        <v>18.75</v>
      </c>
      <c r="I5" s="6">
        <v>6</v>
      </c>
      <c r="J5" s="44">
        <f t="shared" ref="J5:J30" si="5">(I5/B5)*100</f>
        <v>2.8846153846153846</v>
      </c>
      <c r="K5" s="43">
        <v>31</v>
      </c>
      <c r="L5" s="44">
        <f t="shared" si="2"/>
        <v>14.903846153846153</v>
      </c>
      <c r="M5" s="43">
        <v>23</v>
      </c>
      <c r="N5" s="44">
        <f t="shared" si="3"/>
        <v>11.057692307692307</v>
      </c>
      <c r="O5" s="43">
        <v>0</v>
      </c>
      <c r="P5" s="44">
        <f t="shared" si="4"/>
        <v>0</v>
      </c>
      <c r="Q5" s="6">
        <v>0</v>
      </c>
      <c r="R5" s="44">
        <f>(Q5/B5)*100</f>
        <v>0</v>
      </c>
    </row>
    <row r="6" spans="1:18" x14ac:dyDescent="0.35">
      <c r="A6" s="25" t="s">
        <v>120</v>
      </c>
      <c r="B6" s="51">
        <v>117</v>
      </c>
      <c r="C6" s="51">
        <v>116</v>
      </c>
      <c r="D6" s="48">
        <f t="shared" si="0"/>
        <v>99.145299145299148</v>
      </c>
      <c r="E6" s="43">
        <v>107</v>
      </c>
      <c r="F6" s="44">
        <f t="shared" si="1"/>
        <v>91.452991452991455</v>
      </c>
      <c r="G6" s="6">
        <v>19</v>
      </c>
      <c r="H6" s="44">
        <f t="shared" ref="H6:H30" si="6">(G6/B6)*100</f>
        <v>16.239316239316238</v>
      </c>
      <c r="I6" s="6">
        <v>0</v>
      </c>
      <c r="J6" s="44">
        <f t="shared" si="5"/>
        <v>0</v>
      </c>
      <c r="K6" s="43">
        <v>9</v>
      </c>
      <c r="L6" s="44">
        <f t="shared" si="2"/>
        <v>7.6923076923076925</v>
      </c>
      <c r="M6" s="43">
        <v>0</v>
      </c>
      <c r="N6" s="44">
        <f t="shared" si="3"/>
        <v>0</v>
      </c>
      <c r="O6" s="43">
        <v>0</v>
      </c>
      <c r="P6" s="44">
        <f t="shared" si="4"/>
        <v>0</v>
      </c>
      <c r="Q6" s="6">
        <v>1</v>
      </c>
      <c r="R6" s="44">
        <f t="shared" ref="R6:R7" si="7">(Q6/B6)*100</f>
        <v>0.85470085470085477</v>
      </c>
    </row>
    <row r="7" spans="1:18" x14ac:dyDescent="0.35">
      <c r="A7" s="25" t="s">
        <v>121</v>
      </c>
      <c r="B7" s="51">
        <v>70</v>
      </c>
      <c r="C7" s="51">
        <v>70</v>
      </c>
      <c r="D7" s="48">
        <f t="shared" si="0"/>
        <v>100</v>
      </c>
      <c r="E7" s="43">
        <v>67</v>
      </c>
      <c r="F7" s="44">
        <f t="shared" si="1"/>
        <v>95.714285714285722</v>
      </c>
      <c r="G7" s="6">
        <v>19</v>
      </c>
      <c r="H7" s="44">
        <f t="shared" si="6"/>
        <v>27.142857142857142</v>
      </c>
      <c r="I7" s="6">
        <v>0</v>
      </c>
      <c r="J7" s="44">
        <f t="shared" si="5"/>
        <v>0</v>
      </c>
      <c r="K7" s="43">
        <v>1</v>
      </c>
      <c r="L7" s="44">
        <f t="shared" si="2"/>
        <v>1.4285714285714286</v>
      </c>
      <c r="M7" s="43">
        <v>2</v>
      </c>
      <c r="N7" s="44">
        <f t="shared" si="3"/>
        <v>2.8571428571428572</v>
      </c>
      <c r="O7" s="43">
        <v>0</v>
      </c>
      <c r="P7" s="44">
        <f t="shared" si="4"/>
        <v>0</v>
      </c>
      <c r="Q7" s="6">
        <v>0</v>
      </c>
      <c r="R7" s="44">
        <f t="shared" si="7"/>
        <v>0</v>
      </c>
    </row>
    <row r="8" spans="1:18" x14ac:dyDescent="0.35">
      <c r="A8" s="25" t="s">
        <v>204</v>
      </c>
      <c r="B8" s="51">
        <v>127</v>
      </c>
      <c r="C8" s="51">
        <v>127</v>
      </c>
      <c r="D8" s="48">
        <f t="shared" si="0"/>
        <v>100</v>
      </c>
      <c r="E8" s="43">
        <v>63</v>
      </c>
      <c r="F8" s="44">
        <f t="shared" si="1"/>
        <v>49.606299212598429</v>
      </c>
      <c r="G8" s="6" t="s">
        <v>128</v>
      </c>
      <c r="H8" s="44" t="s">
        <v>128</v>
      </c>
      <c r="I8" s="6" t="s">
        <v>128</v>
      </c>
      <c r="J8" s="44" t="s">
        <v>128</v>
      </c>
      <c r="K8" s="43">
        <v>65</v>
      </c>
      <c r="L8" s="44">
        <f t="shared" si="2"/>
        <v>51.181102362204726</v>
      </c>
      <c r="M8" s="43">
        <v>1</v>
      </c>
      <c r="N8" s="44">
        <f t="shared" si="3"/>
        <v>0.78740157480314954</v>
      </c>
      <c r="O8" s="43">
        <v>0</v>
      </c>
      <c r="P8" s="44">
        <f t="shared" si="4"/>
        <v>0</v>
      </c>
      <c r="Q8" s="6" t="s">
        <v>128</v>
      </c>
      <c r="R8" s="44" t="s">
        <v>128</v>
      </c>
    </row>
    <row r="9" spans="1:18" x14ac:dyDescent="0.35">
      <c r="A9" s="25" t="s">
        <v>123</v>
      </c>
      <c r="B9" s="51">
        <v>19</v>
      </c>
      <c r="C9" s="51">
        <v>19</v>
      </c>
      <c r="D9" s="48">
        <f t="shared" si="0"/>
        <v>100</v>
      </c>
      <c r="E9" s="43">
        <v>17</v>
      </c>
      <c r="F9" s="44">
        <f t="shared" si="1"/>
        <v>89.473684210526315</v>
      </c>
      <c r="G9" s="6">
        <v>7</v>
      </c>
      <c r="H9" s="44">
        <f t="shared" si="6"/>
        <v>36.84210526315789</v>
      </c>
      <c r="I9" s="6">
        <v>0</v>
      </c>
      <c r="J9" s="44">
        <f t="shared" si="5"/>
        <v>0</v>
      </c>
      <c r="K9" s="43">
        <v>0</v>
      </c>
      <c r="L9" s="44">
        <f t="shared" si="2"/>
        <v>0</v>
      </c>
      <c r="M9" s="43">
        <v>2</v>
      </c>
      <c r="N9" s="44">
        <f t="shared" si="3"/>
        <v>10.526315789473683</v>
      </c>
      <c r="O9" s="43">
        <v>0</v>
      </c>
      <c r="P9" s="44">
        <f t="shared" si="4"/>
        <v>0</v>
      </c>
      <c r="Q9" s="6">
        <v>0</v>
      </c>
      <c r="R9" s="44">
        <f t="shared" ref="R9:R10" si="8">(Q9/B9)*100</f>
        <v>0</v>
      </c>
    </row>
    <row r="10" spans="1:18" x14ac:dyDescent="0.35">
      <c r="A10" s="25" t="s">
        <v>124</v>
      </c>
      <c r="B10" s="51">
        <v>114</v>
      </c>
      <c r="C10" s="51">
        <v>114</v>
      </c>
      <c r="D10" s="48">
        <f t="shared" si="0"/>
        <v>100</v>
      </c>
      <c r="E10" s="43">
        <v>89</v>
      </c>
      <c r="F10" s="44">
        <f t="shared" si="1"/>
        <v>78.070175438596493</v>
      </c>
      <c r="G10" s="6">
        <v>2</v>
      </c>
      <c r="H10" s="44">
        <f t="shared" si="6"/>
        <v>1.7543859649122806</v>
      </c>
      <c r="I10" s="6">
        <v>0</v>
      </c>
      <c r="J10" s="44">
        <f t="shared" si="5"/>
        <v>0</v>
      </c>
      <c r="K10" s="43">
        <v>21</v>
      </c>
      <c r="L10" s="44">
        <f t="shared" si="2"/>
        <v>18.421052631578945</v>
      </c>
      <c r="M10" s="43">
        <v>4</v>
      </c>
      <c r="N10" s="44">
        <f t="shared" si="3"/>
        <v>3.5087719298245612</v>
      </c>
      <c r="O10" s="43">
        <v>0</v>
      </c>
      <c r="P10" s="44">
        <f t="shared" si="4"/>
        <v>0</v>
      </c>
      <c r="Q10" s="6">
        <v>0</v>
      </c>
      <c r="R10" s="44">
        <f t="shared" si="8"/>
        <v>0</v>
      </c>
    </row>
    <row r="11" spans="1:18" x14ac:dyDescent="0.35">
      <c r="A11" s="25" t="s">
        <v>217</v>
      </c>
      <c r="B11" s="51">
        <v>3</v>
      </c>
      <c r="C11" s="51">
        <v>3</v>
      </c>
      <c r="D11" s="48">
        <f t="shared" si="0"/>
        <v>100</v>
      </c>
      <c r="E11" s="43">
        <v>3</v>
      </c>
      <c r="F11" s="44">
        <f t="shared" si="1"/>
        <v>100</v>
      </c>
      <c r="G11" s="6" t="s">
        <v>128</v>
      </c>
      <c r="H11" s="44" t="s">
        <v>128</v>
      </c>
      <c r="I11" s="6" t="s">
        <v>128</v>
      </c>
      <c r="J11" s="44" t="s">
        <v>128</v>
      </c>
      <c r="K11" s="43">
        <v>0</v>
      </c>
      <c r="L11" s="44">
        <f t="shared" si="2"/>
        <v>0</v>
      </c>
      <c r="M11" s="43">
        <v>0</v>
      </c>
      <c r="N11" s="44">
        <f t="shared" si="3"/>
        <v>0</v>
      </c>
      <c r="O11" s="43">
        <v>0</v>
      </c>
      <c r="P11" s="44">
        <f t="shared" si="4"/>
        <v>0</v>
      </c>
      <c r="Q11" s="6" t="s">
        <v>128</v>
      </c>
      <c r="R11" s="44" t="s">
        <v>128</v>
      </c>
    </row>
    <row r="12" spans="1:18" x14ac:dyDescent="0.35">
      <c r="A12" s="25" t="s">
        <v>126</v>
      </c>
      <c r="B12" s="51">
        <v>38</v>
      </c>
      <c r="C12" s="51">
        <v>37</v>
      </c>
      <c r="D12" s="48">
        <f t="shared" si="0"/>
        <v>97.368421052631575</v>
      </c>
      <c r="E12" s="43">
        <v>33</v>
      </c>
      <c r="F12" s="44">
        <f t="shared" si="1"/>
        <v>86.842105263157904</v>
      </c>
      <c r="G12" s="6">
        <v>3</v>
      </c>
      <c r="H12" s="44">
        <f t="shared" si="6"/>
        <v>7.8947368421052628</v>
      </c>
      <c r="I12" s="6">
        <v>3</v>
      </c>
      <c r="J12" s="44">
        <f t="shared" si="5"/>
        <v>7.8947368421052628</v>
      </c>
      <c r="K12" s="43">
        <v>3</v>
      </c>
      <c r="L12" s="44">
        <f t="shared" si="2"/>
        <v>7.8947368421052628</v>
      </c>
      <c r="M12" s="43">
        <v>1</v>
      </c>
      <c r="N12" s="44">
        <f t="shared" si="3"/>
        <v>2.6315789473684208</v>
      </c>
      <c r="O12" s="43">
        <v>0</v>
      </c>
      <c r="P12" s="44">
        <f t="shared" si="4"/>
        <v>0</v>
      </c>
      <c r="Q12" s="6">
        <v>1</v>
      </c>
      <c r="R12" s="44">
        <f>(Q12/B12)*100</f>
        <v>2.6315789473684208</v>
      </c>
    </row>
    <row r="13" spans="1:18" x14ac:dyDescent="0.35">
      <c r="A13" s="25" t="s">
        <v>127</v>
      </c>
      <c r="B13" s="51">
        <v>135</v>
      </c>
      <c r="C13" s="51">
        <v>135</v>
      </c>
      <c r="D13" s="48">
        <f t="shared" si="0"/>
        <v>100</v>
      </c>
      <c r="E13" s="43">
        <v>130</v>
      </c>
      <c r="F13" s="44">
        <f t="shared" si="1"/>
        <v>96.296296296296291</v>
      </c>
      <c r="G13" s="6" t="s">
        <v>128</v>
      </c>
      <c r="H13" s="44" t="s">
        <v>128</v>
      </c>
      <c r="I13" s="6" t="s">
        <v>128</v>
      </c>
      <c r="J13" s="44" t="s">
        <v>128</v>
      </c>
      <c r="K13" s="43">
        <v>5</v>
      </c>
      <c r="L13" s="44">
        <f t="shared" si="2"/>
        <v>3.7037037037037033</v>
      </c>
      <c r="M13" s="43">
        <v>0</v>
      </c>
      <c r="N13" s="44">
        <f t="shared" si="3"/>
        <v>0</v>
      </c>
      <c r="O13" s="43">
        <v>0</v>
      </c>
      <c r="P13" s="44">
        <f t="shared" si="4"/>
        <v>0</v>
      </c>
      <c r="Q13" s="6" t="s">
        <v>128</v>
      </c>
      <c r="R13" s="44" t="s">
        <v>128</v>
      </c>
    </row>
    <row r="14" spans="1:18" x14ac:dyDescent="0.35">
      <c r="A14" s="25" t="s">
        <v>129</v>
      </c>
      <c r="B14" s="51">
        <v>102</v>
      </c>
      <c r="C14" s="51">
        <v>102</v>
      </c>
      <c r="D14" s="48">
        <f t="shared" si="0"/>
        <v>100</v>
      </c>
      <c r="E14" s="43">
        <v>93</v>
      </c>
      <c r="F14" s="44">
        <f t="shared" si="1"/>
        <v>91.17647058823529</v>
      </c>
      <c r="G14" s="6">
        <v>15</v>
      </c>
      <c r="H14" s="44">
        <f t="shared" si="6"/>
        <v>14.705882352941178</v>
      </c>
      <c r="I14" s="6">
        <v>0</v>
      </c>
      <c r="J14" s="44">
        <f t="shared" si="5"/>
        <v>0</v>
      </c>
      <c r="K14" s="43">
        <v>5</v>
      </c>
      <c r="L14" s="44">
        <f t="shared" si="2"/>
        <v>4.9019607843137258</v>
      </c>
      <c r="M14" s="43">
        <v>4</v>
      </c>
      <c r="N14" s="44">
        <f t="shared" si="3"/>
        <v>3.9215686274509802</v>
      </c>
      <c r="O14" s="43">
        <v>0</v>
      </c>
      <c r="P14" s="44">
        <f t="shared" si="4"/>
        <v>0</v>
      </c>
      <c r="Q14" s="6">
        <v>0</v>
      </c>
      <c r="R14" s="44">
        <f t="shared" ref="R14:R16" si="9">(Q14/B14)*100</f>
        <v>0</v>
      </c>
    </row>
    <row r="15" spans="1:18" x14ac:dyDescent="0.35">
      <c r="A15" s="25" t="s">
        <v>968</v>
      </c>
      <c r="B15" s="51">
        <v>274</v>
      </c>
      <c r="C15" s="51">
        <v>268</v>
      </c>
      <c r="D15" s="48">
        <f t="shared" si="0"/>
        <v>97.810218978102199</v>
      </c>
      <c r="E15" s="43">
        <v>230</v>
      </c>
      <c r="F15" s="44">
        <f t="shared" si="1"/>
        <v>83.941605839416056</v>
      </c>
      <c r="G15" s="6">
        <v>94</v>
      </c>
      <c r="H15" s="44">
        <v>34.307000000000002</v>
      </c>
      <c r="I15" s="6">
        <v>10</v>
      </c>
      <c r="J15" s="44">
        <v>3.65</v>
      </c>
      <c r="K15" s="43">
        <v>28</v>
      </c>
      <c r="L15" s="44">
        <f t="shared" si="2"/>
        <v>10.218978102189782</v>
      </c>
      <c r="M15" s="43">
        <v>10</v>
      </c>
      <c r="N15" s="44">
        <f t="shared" si="3"/>
        <v>3.6496350364963499</v>
      </c>
      <c r="O15" s="43">
        <v>0</v>
      </c>
      <c r="P15" s="44">
        <f t="shared" si="4"/>
        <v>0</v>
      </c>
      <c r="Q15" s="6">
        <v>2</v>
      </c>
      <c r="R15" s="44">
        <f t="shared" si="9"/>
        <v>0.72992700729927007</v>
      </c>
    </row>
    <row r="16" spans="1:18" x14ac:dyDescent="0.35">
      <c r="A16" s="25" t="s">
        <v>131</v>
      </c>
      <c r="B16" s="51">
        <v>51</v>
      </c>
      <c r="C16" s="51">
        <v>41</v>
      </c>
      <c r="D16" s="48">
        <f t="shared" si="0"/>
        <v>80.392156862745097</v>
      </c>
      <c r="E16" s="43">
        <v>32</v>
      </c>
      <c r="F16" s="44">
        <f t="shared" si="1"/>
        <v>62.745098039215684</v>
      </c>
      <c r="G16" s="6">
        <v>7</v>
      </c>
      <c r="H16" s="44">
        <f t="shared" si="6"/>
        <v>13.725490196078432</v>
      </c>
      <c r="I16" s="6">
        <v>1</v>
      </c>
      <c r="J16" s="44">
        <f t="shared" si="5"/>
        <v>1.9607843137254901</v>
      </c>
      <c r="K16" s="43">
        <v>9</v>
      </c>
      <c r="L16" s="44">
        <f t="shared" si="2"/>
        <v>17.647058823529413</v>
      </c>
      <c r="M16" s="43">
        <v>0</v>
      </c>
      <c r="N16" s="44">
        <f t="shared" si="3"/>
        <v>0</v>
      </c>
      <c r="O16" s="43">
        <v>0</v>
      </c>
      <c r="P16" s="44">
        <f t="shared" si="4"/>
        <v>0</v>
      </c>
      <c r="Q16" s="6">
        <v>3</v>
      </c>
      <c r="R16" s="44">
        <f t="shared" si="9"/>
        <v>5.8823529411764701</v>
      </c>
    </row>
    <row r="17" spans="1:19" x14ac:dyDescent="0.35">
      <c r="A17" s="25" t="s">
        <v>157</v>
      </c>
      <c r="B17" s="51">
        <v>183</v>
      </c>
      <c r="C17" s="51">
        <v>183</v>
      </c>
      <c r="D17" s="48">
        <f t="shared" si="0"/>
        <v>100</v>
      </c>
      <c r="E17" s="43">
        <v>121</v>
      </c>
      <c r="F17" s="44">
        <f t="shared" si="1"/>
        <v>66.120218579234972</v>
      </c>
      <c r="G17" s="6" t="s">
        <v>128</v>
      </c>
      <c r="H17" s="44" t="s">
        <v>128</v>
      </c>
      <c r="I17" s="6" t="s">
        <v>128</v>
      </c>
      <c r="J17" s="44" t="s">
        <v>128</v>
      </c>
      <c r="K17" s="43">
        <v>62</v>
      </c>
      <c r="L17" s="44">
        <f t="shared" si="2"/>
        <v>33.879781420765028</v>
      </c>
      <c r="M17" s="43">
        <v>0</v>
      </c>
      <c r="N17" s="44">
        <f t="shared" si="3"/>
        <v>0</v>
      </c>
      <c r="O17" s="43">
        <v>0</v>
      </c>
      <c r="P17" s="44">
        <f t="shared" si="4"/>
        <v>0</v>
      </c>
      <c r="Q17" s="6" t="s">
        <v>128</v>
      </c>
      <c r="R17" s="44" t="s">
        <v>128</v>
      </c>
    </row>
    <row r="18" spans="1:19" x14ac:dyDescent="0.35">
      <c r="A18" s="25" t="s">
        <v>133</v>
      </c>
      <c r="B18" s="51">
        <v>34</v>
      </c>
      <c r="C18" s="51">
        <v>34</v>
      </c>
      <c r="D18" s="48">
        <f t="shared" si="0"/>
        <v>100</v>
      </c>
      <c r="E18" s="43">
        <v>24</v>
      </c>
      <c r="F18" s="44">
        <f t="shared" si="1"/>
        <v>70.588235294117652</v>
      </c>
      <c r="G18" s="6">
        <v>11</v>
      </c>
      <c r="H18" s="44">
        <f t="shared" si="6"/>
        <v>32.352941176470587</v>
      </c>
      <c r="I18" s="6">
        <v>0</v>
      </c>
      <c r="J18" s="44">
        <f t="shared" si="5"/>
        <v>0</v>
      </c>
      <c r="K18" s="43">
        <v>10</v>
      </c>
      <c r="L18" s="44">
        <f t="shared" si="2"/>
        <v>29.411764705882355</v>
      </c>
      <c r="M18" s="43">
        <v>0</v>
      </c>
      <c r="N18" s="44">
        <f t="shared" si="3"/>
        <v>0</v>
      </c>
      <c r="O18" s="43">
        <v>0</v>
      </c>
      <c r="P18" s="44">
        <f t="shared" si="4"/>
        <v>0</v>
      </c>
      <c r="Q18" s="6">
        <v>0</v>
      </c>
      <c r="R18" s="44">
        <f t="shared" ref="R18:R21" si="10">(Q18/B18)*100</f>
        <v>0</v>
      </c>
    </row>
    <row r="19" spans="1:19" x14ac:dyDescent="0.35">
      <c r="A19" s="25" t="s">
        <v>134</v>
      </c>
      <c r="B19" s="51">
        <v>123</v>
      </c>
      <c r="C19" s="51">
        <v>120</v>
      </c>
      <c r="D19" s="48">
        <f t="shared" si="0"/>
        <v>97.560975609756099</v>
      </c>
      <c r="E19" s="43">
        <v>102</v>
      </c>
      <c r="F19" s="44">
        <f t="shared" si="1"/>
        <v>82.926829268292678</v>
      </c>
      <c r="G19" s="6">
        <v>32</v>
      </c>
      <c r="H19" s="44">
        <f t="shared" si="6"/>
        <v>26.016260162601629</v>
      </c>
      <c r="I19" s="6">
        <v>0</v>
      </c>
      <c r="J19" s="44">
        <f t="shared" si="5"/>
        <v>0</v>
      </c>
      <c r="K19" s="43">
        <v>12</v>
      </c>
      <c r="L19" s="44">
        <f t="shared" si="2"/>
        <v>9.7560975609756095</v>
      </c>
      <c r="M19" s="43">
        <v>6</v>
      </c>
      <c r="N19" s="44">
        <f t="shared" si="3"/>
        <v>4.8780487804878048</v>
      </c>
      <c r="O19" s="43">
        <v>0</v>
      </c>
      <c r="P19" s="44">
        <f t="shared" si="4"/>
        <v>0</v>
      </c>
      <c r="Q19" s="6">
        <v>3</v>
      </c>
      <c r="R19" s="44">
        <f t="shared" si="10"/>
        <v>2.4390243902439024</v>
      </c>
    </row>
    <row r="20" spans="1:19" x14ac:dyDescent="0.35">
      <c r="A20" s="25" t="s">
        <v>135</v>
      </c>
      <c r="B20" s="51">
        <v>3</v>
      </c>
      <c r="C20" s="51">
        <v>3</v>
      </c>
      <c r="D20" s="48">
        <f t="shared" si="0"/>
        <v>100</v>
      </c>
      <c r="E20" s="43">
        <v>1</v>
      </c>
      <c r="F20" s="44">
        <f t="shared" si="1"/>
        <v>33.333333333333329</v>
      </c>
      <c r="G20" s="6">
        <v>0</v>
      </c>
      <c r="H20" s="44">
        <f t="shared" si="6"/>
        <v>0</v>
      </c>
      <c r="I20" s="6">
        <v>0</v>
      </c>
      <c r="J20" s="44">
        <f t="shared" si="5"/>
        <v>0</v>
      </c>
      <c r="K20" s="43">
        <v>2</v>
      </c>
      <c r="L20" s="44">
        <f t="shared" si="2"/>
        <v>66.666666666666657</v>
      </c>
      <c r="M20" s="43">
        <v>0</v>
      </c>
      <c r="N20" s="44">
        <f t="shared" si="3"/>
        <v>0</v>
      </c>
      <c r="O20" s="43">
        <v>0</v>
      </c>
      <c r="P20" s="44">
        <f t="shared" si="4"/>
        <v>0</v>
      </c>
      <c r="Q20" s="6">
        <v>0</v>
      </c>
      <c r="R20" s="44">
        <f t="shared" si="10"/>
        <v>0</v>
      </c>
    </row>
    <row r="21" spans="1:19" x14ac:dyDescent="0.35">
      <c r="A21" s="25" t="s">
        <v>136</v>
      </c>
      <c r="B21" s="51">
        <v>145</v>
      </c>
      <c r="C21" s="51">
        <v>145</v>
      </c>
      <c r="D21" s="48">
        <f t="shared" si="0"/>
        <v>100</v>
      </c>
      <c r="E21" s="43">
        <v>131</v>
      </c>
      <c r="F21" s="44">
        <f t="shared" si="1"/>
        <v>90.344827586206904</v>
      </c>
      <c r="G21" s="6">
        <v>24</v>
      </c>
      <c r="H21" s="44">
        <f t="shared" si="6"/>
        <v>16.551724137931036</v>
      </c>
      <c r="I21" s="6">
        <v>8</v>
      </c>
      <c r="J21" s="44">
        <f t="shared" si="5"/>
        <v>5.5172413793103452</v>
      </c>
      <c r="K21" s="43">
        <v>7</v>
      </c>
      <c r="L21" s="44">
        <f t="shared" si="2"/>
        <v>4.8275862068965516</v>
      </c>
      <c r="M21" s="43">
        <v>7</v>
      </c>
      <c r="N21" s="44">
        <f t="shared" si="3"/>
        <v>4.8275862068965516</v>
      </c>
      <c r="O21" s="43">
        <v>0</v>
      </c>
      <c r="P21" s="44">
        <f t="shared" si="4"/>
        <v>0</v>
      </c>
      <c r="Q21" s="6">
        <v>0</v>
      </c>
      <c r="R21" s="44">
        <f t="shared" si="10"/>
        <v>0</v>
      </c>
    </row>
    <row r="22" spans="1:19" x14ac:dyDescent="0.35">
      <c r="A22" s="25" t="s">
        <v>137</v>
      </c>
      <c r="B22" s="51">
        <v>44</v>
      </c>
      <c r="C22" s="51">
        <v>44</v>
      </c>
      <c r="D22" s="48">
        <f t="shared" si="0"/>
        <v>100</v>
      </c>
      <c r="E22" s="43">
        <v>44</v>
      </c>
      <c r="F22" s="44">
        <f t="shared" si="1"/>
        <v>100</v>
      </c>
      <c r="G22" s="6" t="s">
        <v>128</v>
      </c>
      <c r="H22" s="44" t="s">
        <v>128</v>
      </c>
      <c r="I22" s="6" t="s">
        <v>128</v>
      </c>
      <c r="J22" s="44" t="s">
        <v>128</v>
      </c>
      <c r="K22" s="43">
        <v>0</v>
      </c>
      <c r="L22" s="44">
        <f t="shared" si="2"/>
        <v>0</v>
      </c>
      <c r="M22" s="43">
        <v>0</v>
      </c>
      <c r="N22" s="44">
        <f t="shared" si="3"/>
        <v>0</v>
      </c>
      <c r="O22" s="43">
        <v>0</v>
      </c>
      <c r="P22" s="44">
        <f t="shared" si="4"/>
        <v>0</v>
      </c>
      <c r="Q22" s="6" t="s">
        <v>128</v>
      </c>
      <c r="R22" s="44" t="s">
        <v>128</v>
      </c>
    </row>
    <row r="23" spans="1:19" x14ac:dyDescent="0.35">
      <c r="A23" s="25" t="s">
        <v>138</v>
      </c>
      <c r="B23" s="51">
        <v>97</v>
      </c>
      <c r="C23" s="51">
        <v>96</v>
      </c>
      <c r="D23" s="48">
        <f t="shared" si="0"/>
        <v>98.969072164948457</v>
      </c>
      <c r="E23" s="43">
        <v>71</v>
      </c>
      <c r="F23" s="44">
        <f t="shared" si="1"/>
        <v>73.19587628865979</v>
      </c>
      <c r="G23" s="6">
        <v>5</v>
      </c>
      <c r="H23" s="44">
        <f t="shared" si="6"/>
        <v>5.1546391752577314</v>
      </c>
      <c r="I23" s="6">
        <v>4</v>
      </c>
      <c r="J23" s="44">
        <f t="shared" si="5"/>
        <v>4.1237113402061851</v>
      </c>
      <c r="K23" s="43">
        <v>20</v>
      </c>
      <c r="L23" s="44">
        <f t="shared" si="2"/>
        <v>20.618556701030926</v>
      </c>
      <c r="M23" s="43">
        <v>5</v>
      </c>
      <c r="N23" s="44">
        <f t="shared" si="3"/>
        <v>5.1546391752577314</v>
      </c>
      <c r="O23" s="43">
        <v>0</v>
      </c>
      <c r="P23" s="44">
        <f t="shared" si="4"/>
        <v>0</v>
      </c>
      <c r="Q23" s="6">
        <v>0</v>
      </c>
      <c r="R23" s="44">
        <f t="shared" ref="R23:R28" si="11">(Q23/B23)*100</f>
        <v>0</v>
      </c>
    </row>
    <row r="24" spans="1:19" x14ac:dyDescent="0.35">
      <c r="A24" s="25" t="s">
        <v>139</v>
      </c>
      <c r="B24" s="51">
        <v>216</v>
      </c>
      <c r="C24" s="51">
        <v>216</v>
      </c>
      <c r="D24" s="48">
        <f t="shared" si="0"/>
        <v>100</v>
      </c>
      <c r="E24" s="43">
        <v>175</v>
      </c>
      <c r="F24" s="44">
        <f t="shared" si="1"/>
        <v>81.018518518518519</v>
      </c>
      <c r="G24" s="6">
        <v>13</v>
      </c>
      <c r="H24" s="44">
        <f t="shared" si="6"/>
        <v>6.0185185185185182</v>
      </c>
      <c r="I24" s="6">
        <v>1</v>
      </c>
      <c r="J24" s="44">
        <f t="shared" si="5"/>
        <v>0.46296296296296291</v>
      </c>
      <c r="K24" s="43">
        <v>34</v>
      </c>
      <c r="L24" s="44">
        <f t="shared" si="2"/>
        <v>15.74074074074074</v>
      </c>
      <c r="M24" s="43">
        <v>7</v>
      </c>
      <c r="N24" s="44">
        <f t="shared" si="3"/>
        <v>3.2407407407407405</v>
      </c>
      <c r="O24" s="43">
        <v>0</v>
      </c>
      <c r="P24" s="44">
        <f t="shared" si="4"/>
        <v>0</v>
      </c>
      <c r="Q24" s="6">
        <v>0</v>
      </c>
      <c r="R24" s="44">
        <f t="shared" si="11"/>
        <v>0</v>
      </c>
    </row>
    <row r="25" spans="1:19" x14ac:dyDescent="0.35">
      <c r="A25" s="25" t="s">
        <v>140</v>
      </c>
      <c r="B25" s="51">
        <v>285</v>
      </c>
      <c r="C25" s="51">
        <v>284</v>
      </c>
      <c r="D25" s="48">
        <f t="shared" si="0"/>
        <v>99.649122807017548</v>
      </c>
      <c r="E25" s="43">
        <v>195</v>
      </c>
      <c r="F25" s="44">
        <f t="shared" si="1"/>
        <v>68.421052631578945</v>
      </c>
      <c r="G25" s="6">
        <v>42</v>
      </c>
      <c r="H25" s="44">
        <f t="shared" si="6"/>
        <v>14.736842105263156</v>
      </c>
      <c r="I25" s="6">
        <v>0</v>
      </c>
      <c r="J25" s="44">
        <f t="shared" si="5"/>
        <v>0</v>
      </c>
      <c r="K25" s="43">
        <v>75</v>
      </c>
      <c r="L25" s="44">
        <f t="shared" si="2"/>
        <v>26.315789473684209</v>
      </c>
      <c r="M25" s="43">
        <v>14</v>
      </c>
      <c r="N25" s="44">
        <f t="shared" si="3"/>
        <v>4.9122807017543861</v>
      </c>
      <c r="O25" s="43">
        <v>0</v>
      </c>
      <c r="P25" s="44">
        <f t="shared" si="4"/>
        <v>0</v>
      </c>
      <c r="Q25" s="6">
        <v>0</v>
      </c>
      <c r="R25" s="44">
        <f t="shared" si="11"/>
        <v>0</v>
      </c>
    </row>
    <row r="26" spans="1:19" x14ac:dyDescent="0.35">
      <c r="A26" s="25" t="s">
        <v>141</v>
      </c>
      <c r="B26" s="51">
        <v>92</v>
      </c>
      <c r="C26" s="51">
        <v>90</v>
      </c>
      <c r="D26" s="48">
        <f>(C26/B26)*100</f>
        <v>97.826086956521735</v>
      </c>
      <c r="E26" s="43">
        <v>63</v>
      </c>
      <c r="F26" s="44">
        <f t="shared" si="1"/>
        <v>68.478260869565219</v>
      </c>
      <c r="G26" s="6">
        <v>44</v>
      </c>
      <c r="H26" s="44">
        <f t="shared" si="6"/>
        <v>47.826086956521742</v>
      </c>
      <c r="I26" s="6">
        <v>1</v>
      </c>
      <c r="J26" s="44">
        <f t="shared" si="5"/>
        <v>1.0869565217391304</v>
      </c>
      <c r="K26" s="43">
        <v>27</v>
      </c>
      <c r="L26" s="44">
        <f t="shared" si="2"/>
        <v>29.347826086956523</v>
      </c>
      <c r="M26" s="43">
        <v>0</v>
      </c>
      <c r="N26" s="44">
        <f t="shared" si="3"/>
        <v>0</v>
      </c>
      <c r="O26" s="43">
        <v>0</v>
      </c>
      <c r="P26" s="44">
        <f t="shared" si="4"/>
        <v>0</v>
      </c>
      <c r="Q26" s="6">
        <v>2</v>
      </c>
      <c r="R26" s="44">
        <f t="shared" si="11"/>
        <v>2.1739130434782608</v>
      </c>
    </row>
    <row r="27" spans="1:19" x14ac:dyDescent="0.35">
      <c r="A27" s="25" t="s">
        <v>142</v>
      </c>
      <c r="B27" s="51">
        <v>53</v>
      </c>
      <c r="C27" s="51">
        <v>50</v>
      </c>
      <c r="D27" s="48">
        <f t="shared" si="0"/>
        <v>94.339622641509436</v>
      </c>
      <c r="E27" s="43">
        <v>23</v>
      </c>
      <c r="F27" s="44">
        <f t="shared" si="1"/>
        <v>43.39622641509434</v>
      </c>
      <c r="G27" s="6">
        <v>14</v>
      </c>
      <c r="H27" s="44">
        <f t="shared" si="6"/>
        <v>26.415094339622641</v>
      </c>
      <c r="I27" s="6">
        <v>1</v>
      </c>
      <c r="J27" s="44">
        <f t="shared" si="5"/>
        <v>1.8867924528301887</v>
      </c>
      <c r="K27" s="43">
        <v>27</v>
      </c>
      <c r="L27" s="44">
        <f t="shared" si="2"/>
        <v>50.943396226415096</v>
      </c>
      <c r="M27" s="43">
        <v>0</v>
      </c>
      <c r="N27" s="44">
        <f t="shared" si="3"/>
        <v>0</v>
      </c>
      <c r="O27" s="43">
        <v>0</v>
      </c>
      <c r="P27" s="44">
        <f t="shared" si="4"/>
        <v>0</v>
      </c>
      <c r="Q27" s="6">
        <v>2</v>
      </c>
      <c r="R27" s="44">
        <f t="shared" si="11"/>
        <v>3.7735849056603774</v>
      </c>
    </row>
    <row r="28" spans="1:19" x14ac:dyDescent="0.35">
      <c r="A28" s="25" t="s">
        <v>143</v>
      </c>
      <c r="B28" s="51">
        <v>243</v>
      </c>
      <c r="C28" s="51">
        <v>241</v>
      </c>
      <c r="D28" s="48">
        <f t="shared" si="0"/>
        <v>99.176954732510296</v>
      </c>
      <c r="E28" s="43">
        <v>187</v>
      </c>
      <c r="F28" s="44">
        <f t="shared" si="1"/>
        <v>76.954732510288068</v>
      </c>
      <c r="G28" s="6">
        <v>16</v>
      </c>
      <c r="H28" s="44">
        <f t="shared" si="6"/>
        <v>6.5843621399176957</v>
      </c>
      <c r="I28" s="6">
        <v>2</v>
      </c>
      <c r="J28" s="44">
        <f t="shared" si="5"/>
        <v>0.82304526748971196</v>
      </c>
      <c r="K28" s="43">
        <v>42</v>
      </c>
      <c r="L28" s="44">
        <f t="shared" si="2"/>
        <v>17.283950617283949</v>
      </c>
      <c r="M28" s="43">
        <v>12</v>
      </c>
      <c r="N28" s="44">
        <f t="shared" si="3"/>
        <v>4.9382716049382713</v>
      </c>
      <c r="O28" s="43">
        <v>0</v>
      </c>
      <c r="P28" s="44">
        <f t="shared" si="4"/>
        <v>0</v>
      </c>
      <c r="Q28" s="6">
        <v>0</v>
      </c>
      <c r="R28" s="44">
        <f t="shared" si="11"/>
        <v>0</v>
      </c>
    </row>
    <row r="29" spans="1:19" x14ac:dyDescent="0.35">
      <c r="A29" s="25" t="s">
        <v>297</v>
      </c>
      <c r="B29" s="51">
        <v>9</v>
      </c>
      <c r="C29" s="51">
        <v>9</v>
      </c>
      <c r="D29" s="48">
        <f t="shared" si="0"/>
        <v>100</v>
      </c>
      <c r="E29" s="43">
        <v>9</v>
      </c>
      <c r="F29" s="44">
        <f t="shared" si="1"/>
        <v>100</v>
      </c>
      <c r="G29" s="6" t="s">
        <v>128</v>
      </c>
      <c r="H29" s="44" t="s">
        <v>128</v>
      </c>
      <c r="I29" s="6" t="s">
        <v>128</v>
      </c>
      <c r="J29" s="44" t="s">
        <v>128</v>
      </c>
      <c r="K29" s="43">
        <v>0</v>
      </c>
      <c r="L29" s="44">
        <f t="shared" si="2"/>
        <v>0</v>
      </c>
      <c r="M29" s="43">
        <v>0</v>
      </c>
      <c r="N29" s="44">
        <f t="shared" si="3"/>
        <v>0</v>
      </c>
      <c r="O29" s="43">
        <v>0</v>
      </c>
      <c r="P29" s="44">
        <f t="shared" si="4"/>
        <v>0</v>
      </c>
      <c r="Q29" s="6" t="s">
        <v>128</v>
      </c>
      <c r="R29" s="44" t="s">
        <v>128</v>
      </c>
    </row>
    <row r="30" spans="1:19" s="11" customFormat="1" ht="31.5" customHeight="1" thickBot="1" x14ac:dyDescent="0.4">
      <c r="A30" s="24" t="s">
        <v>298</v>
      </c>
      <c r="B30" s="47">
        <v>13</v>
      </c>
      <c r="C30" s="47">
        <v>12</v>
      </c>
      <c r="D30" s="49">
        <f t="shared" si="0"/>
        <v>92.307692307692307</v>
      </c>
      <c r="E30" s="219">
        <v>9</v>
      </c>
      <c r="F30" s="220">
        <f t="shared" si="1"/>
        <v>69.230769230769226</v>
      </c>
      <c r="G30" s="221">
        <v>0</v>
      </c>
      <c r="H30" s="44">
        <f t="shared" si="6"/>
        <v>0</v>
      </c>
      <c r="I30" s="221">
        <v>1</v>
      </c>
      <c r="J30" s="44">
        <f t="shared" si="5"/>
        <v>7.6923076923076925</v>
      </c>
      <c r="K30" s="219">
        <v>3</v>
      </c>
      <c r="L30" s="220">
        <f t="shared" si="2"/>
        <v>23.076923076923077</v>
      </c>
      <c r="M30" s="219">
        <v>0</v>
      </c>
      <c r="N30" s="220">
        <f t="shared" si="3"/>
        <v>0</v>
      </c>
      <c r="O30" s="219">
        <v>0</v>
      </c>
      <c r="P30" s="220">
        <f t="shared" si="4"/>
        <v>0</v>
      </c>
      <c r="Q30" s="221">
        <v>0</v>
      </c>
      <c r="R30" s="44">
        <f>(Q30/B30)*100</f>
        <v>0</v>
      </c>
      <c r="S30"/>
    </row>
    <row r="31" spans="1:19" ht="15" thickBot="1" x14ac:dyDescent="0.4">
      <c r="A31" s="72" t="s">
        <v>969</v>
      </c>
      <c r="B31" s="73">
        <f>SUM(B3:B30)</f>
        <v>3027</v>
      </c>
      <c r="C31" s="73">
        <f>SUM(C3:C30)</f>
        <v>2993</v>
      </c>
      <c r="D31" s="74">
        <f>(C31/B31)*100</f>
        <v>98.876775685497194</v>
      </c>
      <c r="E31" s="90">
        <f>SUM(E3:E30)</f>
        <v>2379</v>
      </c>
      <c r="F31" s="81">
        <f t="shared" si="1"/>
        <v>78.592666005946484</v>
      </c>
      <c r="G31" s="82">
        <f>SUM(G3:G30)</f>
        <v>406</v>
      </c>
      <c r="H31" s="81">
        <f>(G31/B31)*100</f>
        <v>13.41261975553353</v>
      </c>
      <c r="I31" s="82">
        <f>SUM(I3:I30)</f>
        <v>38</v>
      </c>
      <c r="J31" s="81">
        <f>(I31/B31)*100</f>
        <v>1.2553683515031384</v>
      </c>
      <c r="K31" s="90">
        <f>SUM(K3:K30)</f>
        <v>518</v>
      </c>
      <c r="L31" s="81">
        <f t="shared" si="2"/>
        <v>17.112652791542782</v>
      </c>
      <c r="M31" s="90">
        <f>SUM(M3:M30)</f>
        <v>98</v>
      </c>
      <c r="N31" s="81">
        <f t="shared" si="3"/>
        <v>3.2375289065080937</v>
      </c>
      <c r="O31" s="90">
        <f>SUM(O3:O30)</f>
        <v>1</v>
      </c>
      <c r="P31" s="81">
        <f t="shared" si="4"/>
        <v>3.3036009250082585E-2</v>
      </c>
      <c r="Q31" s="82">
        <f>SUM(Q3:Q30)</f>
        <v>14</v>
      </c>
      <c r="R31" s="81">
        <f>(Q31/B31)*100</f>
        <v>0.46250412950115627</v>
      </c>
    </row>
    <row r="32" spans="1:19" x14ac:dyDescent="0.35">
      <c r="A32" s="4" t="s">
        <v>169</v>
      </c>
      <c r="B32" s="45">
        <v>9</v>
      </c>
      <c r="C32" s="45">
        <v>9</v>
      </c>
      <c r="D32" s="48">
        <f t="shared" ref="D32" si="12">(C32/B32)*100</f>
        <v>100</v>
      </c>
      <c r="E32" s="222">
        <v>0</v>
      </c>
      <c r="F32" s="44">
        <f t="shared" ref="F32" si="13">(E32/B32)*100</f>
        <v>0</v>
      </c>
      <c r="G32" s="6" t="s">
        <v>128</v>
      </c>
      <c r="H32" s="6" t="s">
        <v>128</v>
      </c>
      <c r="I32" s="6" t="s">
        <v>128</v>
      </c>
      <c r="J32" s="6" t="s">
        <v>128</v>
      </c>
      <c r="K32" s="222">
        <v>9</v>
      </c>
      <c r="L32" s="44">
        <f t="shared" ref="L32" si="14">(K32/B32)*100</f>
        <v>100</v>
      </c>
      <c r="M32" s="43">
        <v>0</v>
      </c>
      <c r="N32" s="44">
        <f t="shared" ref="N32" si="15">(M32/B32)*100</f>
        <v>0</v>
      </c>
      <c r="O32" s="222">
        <v>0</v>
      </c>
      <c r="P32" s="44">
        <f t="shared" ref="P32" si="16">(O32/B32)*100</f>
        <v>0</v>
      </c>
      <c r="Q32" s="6" t="s">
        <v>128</v>
      </c>
      <c r="R32" s="6" t="s">
        <v>128</v>
      </c>
    </row>
    <row r="33" spans="1:18" ht="15" thickBot="1" x14ac:dyDescent="0.4">
      <c r="A33" s="4" t="s">
        <v>150</v>
      </c>
      <c r="B33" s="47">
        <v>14</v>
      </c>
      <c r="C33" s="47">
        <v>14</v>
      </c>
      <c r="D33" s="48">
        <f t="shared" si="0"/>
        <v>100</v>
      </c>
      <c r="E33" s="219">
        <v>13</v>
      </c>
      <c r="F33" s="44">
        <f t="shared" si="1"/>
        <v>92.857142857142861</v>
      </c>
      <c r="G33" s="6">
        <v>1</v>
      </c>
      <c r="H33" s="44">
        <f t="shared" ref="H33" si="17">(G33/B33)*100</f>
        <v>7.1428571428571423</v>
      </c>
      <c r="I33" s="6">
        <v>1</v>
      </c>
      <c r="J33" s="44">
        <f t="shared" ref="J33" si="18">(I33/B33)*100</f>
        <v>7.1428571428571423</v>
      </c>
      <c r="K33" s="219">
        <v>1</v>
      </c>
      <c r="L33" s="44">
        <f t="shared" si="2"/>
        <v>7.1428571428571423</v>
      </c>
      <c r="M33" s="43">
        <v>0</v>
      </c>
      <c r="N33" s="44">
        <f t="shared" si="3"/>
        <v>0</v>
      </c>
      <c r="O33" s="219">
        <v>0</v>
      </c>
      <c r="P33" s="44">
        <f t="shared" si="4"/>
        <v>0</v>
      </c>
      <c r="Q33" s="6">
        <v>0</v>
      </c>
      <c r="R33" s="44">
        <f>(Q33/B33)*100</f>
        <v>0</v>
      </c>
    </row>
    <row r="34" spans="1:18" ht="15" thickBot="1" x14ac:dyDescent="0.4">
      <c r="A34" s="72" t="s">
        <v>173</v>
      </c>
      <c r="B34" s="73">
        <f>SUM(B32:B33)</f>
        <v>23</v>
      </c>
      <c r="C34" s="73">
        <f>SUM(C32:C33)</f>
        <v>23</v>
      </c>
      <c r="D34" s="74">
        <f>(C34/B34)*100</f>
        <v>100</v>
      </c>
      <c r="E34" s="90">
        <f>SUM(E32:E33)</f>
        <v>13</v>
      </c>
      <c r="F34" s="81">
        <f t="shared" si="1"/>
        <v>56.521739130434781</v>
      </c>
      <c r="G34" s="90">
        <f>SUM(G32:G33)</f>
        <v>1</v>
      </c>
      <c r="H34" s="81">
        <f>(G34/B34)*100</f>
        <v>4.3478260869565215</v>
      </c>
      <c r="I34" s="82">
        <f>SUM(I32:I33)</f>
        <v>1</v>
      </c>
      <c r="J34" s="81">
        <f>(I34/B34)*100</f>
        <v>4.3478260869565215</v>
      </c>
      <c r="K34" s="90">
        <f>SUM(K32:K33)</f>
        <v>10</v>
      </c>
      <c r="L34" s="81">
        <f t="shared" si="2"/>
        <v>43.478260869565219</v>
      </c>
      <c r="M34" s="90">
        <f>SUM(M32:M33)</f>
        <v>0</v>
      </c>
      <c r="N34" s="81">
        <f t="shared" si="3"/>
        <v>0</v>
      </c>
      <c r="O34" s="90">
        <f>SUM(O32:O33)</f>
        <v>0</v>
      </c>
      <c r="P34" s="81">
        <f t="shared" si="4"/>
        <v>0</v>
      </c>
      <c r="Q34" s="82">
        <f>SUM(Q32:Q33)</f>
        <v>0</v>
      </c>
      <c r="R34" s="81">
        <f>(Q34/B34)*100</f>
        <v>0</v>
      </c>
    </row>
    <row r="35" spans="1:18" ht="15" thickBot="1" x14ac:dyDescent="0.4">
      <c r="A35" s="72" t="s">
        <v>903</v>
      </c>
      <c r="B35" s="73">
        <f>SUM(B31,B34)</f>
        <v>3050</v>
      </c>
      <c r="C35" s="73">
        <f>SUM(C31,C34)</f>
        <v>3016</v>
      </c>
      <c r="D35" s="74">
        <f t="shared" si="0"/>
        <v>98.885245901639337</v>
      </c>
      <c r="E35" s="90">
        <f>SUM(E31,E34)</f>
        <v>2392</v>
      </c>
      <c r="F35" s="81">
        <f t="shared" si="1"/>
        <v>78.426229508196727</v>
      </c>
      <c r="G35" s="90">
        <f>SUM(G31,G34)</f>
        <v>407</v>
      </c>
      <c r="H35" s="81">
        <f>(G35/B35)*100</f>
        <v>13.344262295081968</v>
      </c>
      <c r="I35" s="82">
        <f>SUM(I31,I34)</f>
        <v>39</v>
      </c>
      <c r="J35" s="81">
        <f>(I35/B35)*100</f>
        <v>1.2786885245901638</v>
      </c>
      <c r="K35" s="90">
        <f>SUM(K31,K34)</f>
        <v>528</v>
      </c>
      <c r="L35" s="81">
        <f t="shared" si="2"/>
        <v>17.311475409836067</v>
      </c>
      <c r="M35" s="90">
        <f>SUM(M31,M34)</f>
        <v>98</v>
      </c>
      <c r="N35" s="81">
        <f t="shared" si="3"/>
        <v>3.2131147540983602</v>
      </c>
      <c r="O35" s="90">
        <f>SUM(O31,O34)</f>
        <v>1</v>
      </c>
      <c r="P35" s="81">
        <f t="shared" si="4"/>
        <v>3.2786885245901641E-2</v>
      </c>
      <c r="Q35" s="82">
        <f>SUM(Q31,Q34)</f>
        <v>14</v>
      </c>
      <c r="R35" s="81">
        <f>(Q35/B35)*100</f>
        <v>0.45901639344262296</v>
      </c>
    </row>
    <row r="37" spans="1:18" x14ac:dyDescent="0.35">
      <c r="A37" t="s">
        <v>970</v>
      </c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9">
    <tabColor theme="9" tint="0.79998168889431442"/>
  </sheetPr>
  <dimension ref="A1:R17"/>
  <sheetViews>
    <sheetView zoomScale="80" zoomScaleNormal="80" workbookViewId="0">
      <pane ySplit="2" topLeftCell="A3" activePane="bottomLeft" state="frozen"/>
      <selection pane="bottomLeft" activeCell="B1" sqref="B1:B2"/>
    </sheetView>
  </sheetViews>
  <sheetFormatPr defaultColWidth="10.6328125" defaultRowHeight="14.5" x14ac:dyDescent="0.35"/>
  <cols>
    <col min="1" max="1" width="32.54296875" customWidth="1"/>
    <col min="3" max="18" width="12.81640625" customWidth="1"/>
  </cols>
  <sheetData>
    <row r="1" spans="1:18" ht="17" thickBot="1" x14ac:dyDescent="0.4">
      <c r="A1" s="242" t="s">
        <v>108</v>
      </c>
      <c r="B1" s="242" t="s">
        <v>87</v>
      </c>
      <c r="C1" s="231" t="s">
        <v>109</v>
      </c>
      <c r="D1" s="231"/>
      <c r="E1" s="231" t="s">
        <v>160</v>
      </c>
      <c r="F1" s="231"/>
      <c r="G1" s="231" t="s">
        <v>161</v>
      </c>
      <c r="H1" s="231"/>
      <c r="I1" s="231" t="s">
        <v>162</v>
      </c>
      <c r="J1" s="231"/>
      <c r="K1" s="231" t="s">
        <v>163</v>
      </c>
      <c r="L1" s="231"/>
      <c r="M1" s="231" t="s">
        <v>164</v>
      </c>
      <c r="N1" s="231"/>
      <c r="O1" s="231" t="s">
        <v>165</v>
      </c>
      <c r="P1" s="231"/>
      <c r="Q1" s="262" t="s">
        <v>1020</v>
      </c>
      <c r="R1" s="262"/>
    </row>
    <row r="2" spans="1:18" ht="15" thickBot="1" x14ac:dyDescent="0.4">
      <c r="A2" s="231"/>
      <c r="B2" s="231"/>
      <c r="C2" s="85" t="s">
        <v>83</v>
      </c>
      <c r="D2" s="85" t="s">
        <v>94</v>
      </c>
      <c r="E2" s="85" t="s">
        <v>83</v>
      </c>
      <c r="F2" s="85" t="s">
        <v>94</v>
      </c>
      <c r="G2" s="85" t="s">
        <v>83</v>
      </c>
      <c r="H2" s="85" t="s">
        <v>94</v>
      </c>
      <c r="I2" s="85" t="s">
        <v>83</v>
      </c>
      <c r="J2" s="85" t="s">
        <v>94</v>
      </c>
      <c r="K2" s="85" t="s">
        <v>83</v>
      </c>
      <c r="L2" s="85" t="s">
        <v>94</v>
      </c>
      <c r="M2" s="85" t="s">
        <v>83</v>
      </c>
      <c r="N2" s="85" t="s">
        <v>94</v>
      </c>
      <c r="O2" s="85" t="s">
        <v>83</v>
      </c>
      <c r="P2" s="85" t="s">
        <v>94</v>
      </c>
      <c r="Q2" s="85" t="s">
        <v>83</v>
      </c>
      <c r="R2" s="85" t="s">
        <v>94</v>
      </c>
    </row>
    <row r="3" spans="1:18" x14ac:dyDescent="0.35">
      <c r="A3" t="s">
        <v>177</v>
      </c>
      <c r="B3" s="52">
        <v>30</v>
      </c>
      <c r="C3" s="52">
        <v>30</v>
      </c>
      <c r="D3" s="44">
        <f>(C3/B3)*100</f>
        <v>100</v>
      </c>
      <c r="E3" s="52">
        <v>19</v>
      </c>
      <c r="F3" s="44">
        <f>(E3/B3)*100</f>
        <v>63.333333333333329</v>
      </c>
      <c r="G3" s="6" t="s">
        <v>128</v>
      </c>
      <c r="H3" s="44" t="s">
        <v>128</v>
      </c>
      <c r="I3" s="6" t="s">
        <v>128</v>
      </c>
      <c r="J3" s="44" t="s">
        <v>128</v>
      </c>
      <c r="K3" s="52">
        <v>11</v>
      </c>
      <c r="L3" s="44">
        <f>(K3/B3)*100</f>
        <v>36.666666666666664</v>
      </c>
      <c r="M3" s="52">
        <v>0</v>
      </c>
      <c r="N3" s="44">
        <f>(M3/B3)*100</f>
        <v>0</v>
      </c>
      <c r="O3" s="52">
        <v>0</v>
      </c>
      <c r="P3" s="44">
        <f>(O3/B3)*100</f>
        <v>0</v>
      </c>
      <c r="Q3" s="6" t="s">
        <v>128</v>
      </c>
      <c r="R3" s="44" t="s">
        <v>128</v>
      </c>
    </row>
    <row r="4" spans="1:18" x14ac:dyDescent="0.35">
      <c r="A4" t="s">
        <v>120</v>
      </c>
      <c r="B4" s="57">
        <v>3</v>
      </c>
      <c r="C4" s="57">
        <v>3</v>
      </c>
      <c r="D4" s="44">
        <f t="shared" ref="D4:D14" si="0">(C4/B4)*100</f>
        <v>100</v>
      </c>
      <c r="E4" s="57">
        <v>3</v>
      </c>
      <c r="F4" s="44">
        <f t="shared" ref="F4:F14" si="1">(E4/B4)*100</f>
        <v>100</v>
      </c>
      <c r="G4" s="58">
        <v>1</v>
      </c>
      <c r="H4" s="44">
        <f t="shared" ref="H4:H5" si="2">(G4/B4)*100</f>
        <v>33.333333333333329</v>
      </c>
      <c r="I4" s="58">
        <v>0</v>
      </c>
      <c r="J4" s="44">
        <f t="shared" ref="J4:J5" si="3">(I4/B4)*100</f>
        <v>0</v>
      </c>
      <c r="K4" s="57">
        <v>0</v>
      </c>
      <c r="L4" s="44">
        <f t="shared" ref="L4:L15" si="4">(K4/B4)*100</f>
        <v>0</v>
      </c>
      <c r="M4" s="57">
        <v>0</v>
      </c>
      <c r="N4" s="44">
        <f t="shared" ref="N4:N15" si="5">(M4/B4)*100</f>
        <v>0</v>
      </c>
      <c r="O4" s="57">
        <v>0</v>
      </c>
      <c r="P4" s="44">
        <f t="shared" ref="P4:P15" si="6">(O4/B4)*100</f>
        <v>0</v>
      </c>
      <c r="Q4" s="58">
        <v>0</v>
      </c>
      <c r="R4" s="44">
        <f>(Q4/B4)*100</f>
        <v>0</v>
      </c>
    </row>
    <row r="5" spans="1:18" x14ac:dyDescent="0.35">
      <c r="A5" t="s">
        <v>126</v>
      </c>
      <c r="B5" s="57">
        <v>22</v>
      </c>
      <c r="C5" s="57">
        <v>21</v>
      </c>
      <c r="D5" s="44">
        <f t="shared" si="0"/>
        <v>95.454545454545453</v>
      </c>
      <c r="E5" s="57">
        <v>18</v>
      </c>
      <c r="F5" s="44">
        <f t="shared" si="1"/>
        <v>81.818181818181827</v>
      </c>
      <c r="G5" s="58">
        <v>3</v>
      </c>
      <c r="H5" s="44">
        <f t="shared" si="2"/>
        <v>13.636363636363635</v>
      </c>
      <c r="I5" s="58">
        <v>1</v>
      </c>
      <c r="J5" s="44">
        <f t="shared" si="3"/>
        <v>4.5454545454545459</v>
      </c>
      <c r="K5" s="57">
        <v>3</v>
      </c>
      <c r="L5" s="44">
        <f t="shared" si="4"/>
        <v>13.636363636363635</v>
      </c>
      <c r="M5" s="57">
        <v>0</v>
      </c>
      <c r="N5" s="44">
        <f t="shared" si="5"/>
        <v>0</v>
      </c>
      <c r="O5" s="57">
        <v>0</v>
      </c>
      <c r="P5" s="44">
        <f t="shared" si="6"/>
        <v>0</v>
      </c>
      <c r="Q5" s="58">
        <v>0</v>
      </c>
      <c r="R5" s="44">
        <f>(Q5/B5)*100</f>
        <v>0</v>
      </c>
    </row>
    <row r="6" spans="1:18" x14ac:dyDescent="0.35">
      <c r="A6" t="s">
        <v>127</v>
      </c>
      <c r="B6" s="57">
        <v>114</v>
      </c>
      <c r="C6" s="57">
        <v>114</v>
      </c>
      <c r="D6" s="44">
        <f t="shared" si="0"/>
        <v>100</v>
      </c>
      <c r="E6" s="57">
        <v>93</v>
      </c>
      <c r="F6" s="44">
        <f t="shared" si="1"/>
        <v>81.578947368421055</v>
      </c>
      <c r="G6" s="6" t="s">
        <v>128</v>
      </c>
      <c r="H6" s="44" t="s">
        <v>128</v>
      </c>
      <c r="I6" s="6" t="s">
        <v>128</v>
      </c>
      <c r="J6" s="44" t="s">
        <v>128</v>
      </c>
      <c r="K6" s="57">
        <v>21</v>
      </c>
      <c r="L6" s="44">
        <f t="shared" si="4"/>
        <v>18.421052631578945</v>
      </c>
      <c r="M6" s="57">
        <v>0</v>
      </c>
      <c r="N6" s="44">
        <f t="shared" si="5"/>
        <v>0</v>
      </c>
      <c r="O6" s="57">
        <v>0</v>
      </c>
      <c r="P6" s="44">
        <f t="shared" si="6"/>
        <v>0</v>
      </c>
      <c r="Q6" s="6" t="s">
        <v>128</v>
      </c>
      <c r="R6" s="44" t="s">
        <v>128</v>
      </c>
    </row>
    <row r="7" spans="1:18" x14ac:dyDescent="0.35">
      <c r="A7" t="s">
        <v>130</v>
      </c>
      <c r="B7" s="57">
        <v>56</v>
      </c>
      <c r="C7" s="57">
        <v>54</v>
      </c>
      <c r="D7" s="44">
        <f t="shared" si="0"/>
        <v>96.428571428571431</v>
      </c>
      <c r="E7" s="57">
        <v>35</v>
      </c>
      <c r="F7" s="44">
        <f t="shared" si="1"/>
        <v>62.5</v>
      </c>
      <c r="G7" s="6">
        <v>15</v>
      </c>
      <c r="H7" s="44">
        <f>(G7/B7)*100</f>
        <v>26.785714285714285</v>
      </c>
      <c r="I7" s="6">
        <v>0</v>
      </c>
      <c r="J7" s="44">
        <f>(I7/B7)*100</f>
        <v>0</v>
      </c>
      <c r="K7" s="57">
        <v>16</v>
      </c>
      <c r="L7" s="44">
        <f t="shared" si="4"/>
        <v>28.571428571428569</v>
      </c>
      <c r="M7" s="57">
        <v>3</v>
      </c>
      <c r="N7" s="44">
        <f t="shared" si="5"/>
        <v>5.3571428571428568</v>
      </c>
      <c r="O7" s="57">
        <v>0</v>
      </c>
      <c r="P7" s="44">
        <f t="shared" si="6"/>
        <v>0</v>
      </c>
      <c r="Q7" s="6">
        <v>1</v>
      </c>
      <c r="R7" s="44">
        <f>(Q7/B7)*100</f>
        <v>1.7857142857142856</v>
      </c>
    </row>
    <row r="8" spans="1:18" x14ac:dyDescent="0.35">
      <c r="A8" t="s">
        <v>131</v>
      </c>
      <c r="B8" s="57">
        <v>16</v>
      </c>
      <c r="C8" s="57">
        <v>16</v>
      </c>
      <c r="D8" s="44">
        <f t="shared" si="0"/>
        <v>100</v>
      </c>
      <c r="E8" s="57">
        <v>15</v>
      </c>
      <c r="F8" s="44">
        <f t="shared" si="1"/>
        <v>93.75</v>
      </c>
      <c r="G8" s="58">
        <v>6</v>
      </c>
      <c r="H8" s="44">
        <f>(G8/B8)*100</f>
        <v>37.5</v>
      </c>
      <c r="I8" s="58">
        <v>1</v>
      </c>
      <c r="J8" s="44">
        <f>(I8/B8)*100</f>
        <v>6.25</v>
      </c>
      <c r="K8" s="57">
        <v>1</v>
      </c>
      <c r="L8" s="44">
        <f t="shared" si="4"/>
        <v>6.25</v>
      </c>
      <c r="M8" s="57">
        <v>0</v>
      </c>
      <c r="N8" s="44">
        <f t="shared" si="5"/>
        <v>0</v>
      </c>
      <c r="O8" s="57">
        <v>0</v>
      </c>
      <c r="P8" s="44">
        <f t="shared" si="6"/>
        <v>0</v>
      </c>
      <c r="Q8" s="58">
        <v>0</v>
      </c>
      <c r="R8" s="44">
        <f>(Q8/B8)*100</f>
        <v>0</v>
      </c>
    </row>
    <row r="9" spans="1:18" x14ac:dyDescent="0.35">
      <c r="A9" t="s">
        <v>157</v>
      </c>
      <c r="B9" s="57">
        <v>119</v>
      </c>
      <c r="C9" s="57">
        <v>119</v>
      </c>
      <c r="D9" s="44">
        <f t="shared" si="0"/>
        <v>100</v>
      </c>
      <c r="E9" s="57">
        <v>116</v>
      </c>
      <c r="F9" s="44">
        <f t="shared" si="1"/>
        <v>97.47899159663865</v>
      </c>
      <c r="G9" s="6" t="s">
        <v>128</v>
      </c>
      <c r="H9" s="44" t="s">
        <v>128</v>
      </c>
      <c r="I9" s="6" t="s">
        <v>128</v>
      </c>
      <c r="J9" s="44" t="s">
        <v>128</v>
      </c>
      <c r="K9" s="57">
        <v>3</v>
      </c>
      <c r="L9" s="44">
        <f t="shared" si="4"/>
        <v>2.5210084033613445</v>
      </c>
      <c r="M9" s="57">
        <v>0</v>
      </c>
      <c r="N9" s="44">
        <f t="shared" si="5"/>
        <v>0</v>
      </c>
      <c r="O9" s="57">
        <v>0</v>
      </c>
      <c r="P9" s="44">
        <f t="shared" si="6"/>
        <v>0</v>
      </c>
      <c r="Q9" s="6" t="s">
        <v>128</v>
      </c>
      <c r="R9" s="44" t="s">
        <v>128</v>
      </c>
    </row>
    <row r="10" spans="1:18" x14ac:dyDescent="0.35">
      <c r="A10" t="s">
        <v>138</v>
      </c>
      <c r="B10" s="57">
        <v>83</v>
      </c>
      <c r="C10" s="57">
        <v>83</v>
      </c>
      <c r="D10" s="44">
        <f t="shared" si="0"/>
        <v>100</v>
      </c>
      <c r="E10" s="57">
        <v>66</v>
      </c>
      <c r="F10" s="44">
        <f t="shared" si="1"/>
        <v>79.518072289156621</v>
      </c>
      <c r="G10" s="58">
        <v>7</v>
      </c>
      <c r="H10" s="44">
        <f>(G10/B10)*100</f>
        <v>8.4337349397590362</v>
      </c>
      <c r="I10" s="58">
        <v>1</v>
      </c>
      <c r="J10" s="44">
        <f t="shared" ref="J10:J15" si="7">(I10/B10)*100</f>
        <v>1.2048192771084338</v>
      </c>
      <c r="K10" s="57">
        <v>7</v>
      </c>
      <c r="L10" s="44">
        <f t="shared" si="4"/>
        <v>8.4337349397590362</v>
      </c>
      <c r="M10" s="57">
        <v>10</v>
      </c>
      <c r="N10" s="44">
        <f t="shared" si="5"/>
        <v>12.048192771084338</v>
      </c>
      <c r="O10" s="57">
        <v>0</v>
      </c>
      <c r="P10" s="44">
        <f t="shared" si="6"/>
        <v>0</v>
      </c>
      <c r="Q10" s="58">
        <v>0</v>
      </c>
      <c r="R10" s="44">
        <f t="shared" ref="R10:R15" si="8">(Q10/B10)*100</f>
        <v>0</v>
      </c>
    </row>
    <row r="11" spans="1:18" x14ac:dyDescent="0.35">
      <c r="A11" t="s">
        <v>139</v>
      </c>
      <c r="B11" s="57">
        <v>73</v>
      </c>
      <c r="C11" s="57">
        <v>73</v>
      </c>
      <c r="D11" s="44">
        <f t="shared" si="0"/>
        <v>100</v>
      </c>
      <c r="E11" s="57">
        <v>66</v>
      </c>
      <c r="F11" s="44">
        <f t="shared" si="1"/>
        <v>90.410958904109577</v>
      </c>
      <c r="G11" s="58">
        <v>4</v>
      </c>
      <c r="H11" s="44">
        <f t="shared" ref="H11:H13" si="9">(G11/B11)*100</f>
        <v>5.4794520547945202</v>
      </c>
      <c r="I11" s="58">
        <v>0</v>
      </c>
      <c r="J11" s="44">
        <f t="shared" si="7"/>
        <v>0</v>
      </c>
      <c r="K11" s="57">
        <v>4</v>
      </c>
      <c r="L11" s="44">
        <f t="shared" si="4"/>
        <v>5.4794520547945202</v>
      </c>
      <c r="M11" s="57">
        <v>3</v>
      </c>
      <c r="N11" s="44">
        <f t="shared" si="5"/>
        <v>4.10958904109589</v>
      </c>
      <c r="O11" s="57">
        <v>0</v>
      </c>
      <c r="P11" s="44">
        <f t="shared" si="6"/>
        <v>0</v>
      </c>
      <c r="Q11" s="58">
        <v>0</v>
      </c>
      <c r="R11" s="44">
        <f t="shared" si="8"/>
        <v>0</v>
      </c>
    </row>
    <row r="12" spans="1:18" x14ac:dyDescent="0.35">
      <c r="A12" t="s">
        <v>140</v>
      </c>
      <c r="B12" s="57">
        <v>76</v>
      </c>
      <c r="C12" s="57">
        <v>76</v>
      </c>
      <c r="D12" s="44">
        <f t="shared" si="0"/>
        <v>100</v>
      </c>
      <c r="E12" s="57">
        <v>64</v>
      </c>
      <c r="F12" s="44">
        <f t="shared" si="1"/>
        <v>84.210526315789465</v>
      </c>
      <c r="G12" s="58">
        <v>12</v>
      </c>
      <c r="H12" s="44">
        <f t="shared" si="9"/>
        <v>15.789473684210526</v>
      </c>
      <c r="I12" s="58">
        <v>3</v>
      </c>
      <c r="J12" s="44">
        <f t="shared" si="7"/>
        <v>3.9473684210526314</v>
      </c>
      <c r="K12" s="57">
        <v>1</v>
      </c>
      <c r="L12" s="44">
        <f t="shared" si="4"/>
        <v>1.3157894736842104</v>
      </c>
      <c r="M12" s="57">
        <v>11</v>
      </c>
      <c r="N12" s="44">
        <f t="shared" si="5"/>
        <v>14.473684210526317</v>
      </c>
      <c r="O12" s="57">
        <v>0</v>
      </c>
      <c r="P12" s="44">
        <f t="shared" si="6"/>
        <v>0</v>
      </c>
      <c r="Q12" s="58">
        <v>0</v>
      </c>
      <c r="R12" s="44">
        <f t="shared" si="8"/>
        <v>0</v>
      </c>
    </row>
    <row r="13" spans="1:18" ht="15" thickBot="1" x14ac:dyDescent="0.4">
      <c r="A13" t="s">
        <v>143</v>
      </c>
      <c r="B13" s="52">
        <v>250</v>
      </c>
      <c r="C13" s="52">
        <v>250</v>
      </c>
      <c r="D13" s="44">
        <f t="shared" si="0"/>
        <v>100</v>
      </c>
      <c r="E13" s="52">
        <v>242</v>
      </c>
      <c r="F13" s="44">
        <f t="shared" si="1"/>
        <v>96.8</v>
      </c>
      <c r="G13" s="59">
        <v>15</v>
      </c>
      <c r="H13" s="44">
        <f t="shared" si="9"/>
        <v>6</v>
      </c>
      <c r="I13" s="59">
        <v>4</v>
      </c>
      <c r="J13" s="44">
        <f t="shared" si="7"/>
        <v>1.6</v>
      </c>
      <c r="K13" s="52">
        <v>2</v>
      </c>
      <c r="L13" s="44">
        <f t="shared" si="4"/>
        <v>0.8</v>
      </c>
      <c r="M13" s="52">
        <v>6</v>
      </c>
      <c r="N13" s="44">
        <f t="shared" si="5"/>
        <v>2.4</v>
      </c>
      <c r="O13" s="52">
        <v>0</v>
      </c>
      <c r="P13" s="44">
        <f t="shared" si="6"/>
        <v>0</v>
      </c>
      <c r="Q13" s="59">
        <v>0</v>
      </c>
      <c r="R13" s="44">
        <f t="shared" si="8"/>
        <v>0</v>
      </c>
    </row>
    <row r="14" spans="1:18" ht="15" thickBot="1" x14ac:dyDescent="0.4">
      <c r="A14" s="80" t="s">
        <v>971</v>
      </c>
      <c r="B14" s="90">
        <f>SUM(B3:B13)</f>
        <v>842</v>
      </c>
      <c r="C14" s="90">
        <f>SUM(C3:C13)</f>
        <v>839</v>
      </c>
      <c r="D14" s="81">
        <f t="shared" si="0"/>
        <v>99.643705463182897</v>
      </c>
      <c r="E14" s="90">
        <f>SUM(E3:E13)</f>
        <v>737</v>
      </c>
      <c r="F14" s="81">
        <f t="shared" si="1"/>
        <v>87.529691211401428</v>
      </c>
      <c r="G14" s="82">
        <f>SUM(G3:G13)</f>
        <v>63</v>
      </c>
      <c r="H14" s="81">
        <f>(G14/B14)*100</f>
        <v>7.4821852731591445</v>
      </c>
      <c r="I14" s="82">
        <f>SUM(I3:I13)</f>
        <v>10</v>
      </c>
      <c r="J14" s="81">
        <f t="shared" si="7"/>
        <v>1.1876484560570071</v>
      </c>
      <c r="K14" s="90">
        <f>SUM(K3:K13)</f>
        <v>69</v>
      </c>
      <c r="L14" s="81">
        <f t="shared" si="4"/>
        <v>8.1947743467933485</v>
      </c>
      <c r="M14" s="90">
        <f>SUM(M3:M13)</f>
        <v>33</v>
      </c>
      <c r="N14" s="81">
        <f t="shared" si="5"/>
        <v>3.9192399049881232</v>
      </c>
      <c r="O14" s="90">
        <f>SUM(O3:O13)</f>
        <v>0</v>
      </c>
      <c r="P14" s="82">
        <f t="shared" si="6"/>
        <v>0</v>
      </c>
      <c r="Q14" s="82">
        <f>SUM(Q3:Q13)</f>
        <v>1</v>
      </c>
      <c r="R14" s="81">
        <f t="shared" si="8"/>
        <v>0.11876484560570072</v>
      </c>
    </row>
    <row r="15" spans="1:18" ht="15" thickBot="1" x14ac:dyDescent="0.4">
      <c r="A15" s="79" t="s">
        <v>972</v>
      </c>
      <c r="B15" s="87">
        <f>SUM(B14)</f>
        <v>842</v>
      </c>
      <c r="C15" s="87">
        <f>SUM(C14)</f>
        <v>839</v>
      </c>
      <c r="D15" s="88">
        <f>(C15/B15)*100</f>
        <v>99.643705463182897</v>
      </c>
      <c r="E15" s="87">
        <f>SUM(E14)</f>
        <v>737</v>
      </c>
      <c r="F15" s="88">
        <f>(E15/B15)*100</f>
        <v>87.529691211401428</v>
      </c>
      <c r="G15" s="87">
        <f>SUM(G14)</f>
        <v>63</v>
      </c>
      <c r="H15" s="81">
        <f>(G15/B15)*100</f>
        <v>7.4821852731591445</v>
      </c>
      <c r="I15" s="87">
        <f>SUM(I14)</f>
        <v>10</v>
      </c>
      <c r="J15" s="88">
        <f t="shared" si="7"/>
        <v>1.1876484560570071</v>
      </c>
      <c r="K15" s="87">
        <f>SUM(K14)</f>
        <v>69</v>
      </c>
      <c r="L15" s="88">
        <f t="shared" si="4"/>
        <v>8.1947743467933485</v>
      </c>
      <c r="M15" s="87">
        <f>SUM(M14)</f>
        <v>33</v>
      </c>
      <c r="N15" s="88">
        <f t="shared" si="5"/>
        <v>3.9192399049881232</v>
      </c>
      <c r="O15" s="87">
        <f>SUM(O12:O14)</f>
        <v>0</v>
      </c>
      <c r="P15" s="88">
        <f t="shared" si="6"/>
        <v>0</v>
      </c>
      <c r="Q15" s="87">
        <f>SUM(Q14)</f>
        <v>1</v>
      </c>
      <c r="R15" s="88">
        <f t="shared" si="8"/>
        <v>0.11876484560570072</v>
      </c>
    </row>
    <row r="17" spans="1:1" x14ac:dyDescent="0.35">
      <c r="A17" t="s">
        <v>970</v>
      </c>
    </row>
  </sheetData>
  <mergeCells count="10">
    <mergeCell ref="Q1:R1"/>
    <mergeCell ref="B1:B2"/>
    <mergeCell ref="A1:A2"/>
    <mergeCell ref="K1:L1"/>
    <mergeCell ref="M1:N1"/>
    <mergeCell ref="O1:P1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13">
    <tabColor theme="9" tint="0.79998168889431442"/>
  </sheetPr>
  <dimension ref="A1:R38"/>
  <sheetViews>
    <sheetView zoomScale="80" zoomScaleNormal="80" workbookViewId="0">
      <pane ySplit="2" topLeftCell="A3" activePane="bottomLeft" state="frozen"/>
      <selection pane="bottomLeft" activeCell="B1" sqref="B1:B2"/>
    </sheetView>
  </sheetViews>
  <sheetFormatPr defaultColWidth="10.6328125" defaultRowHeight="14.5" x14ac:dyDescent="0.35"/>
  <cols>
    <col min="1" max="1" width="32.54296875" customWidth="1"/>
    <col min="2" max="2" width="10.6328125" style="6"/>
    <col min="3" max="18" width="12.81640625" style="6" customWidth="1"/>
  </cols>
  <sheetData>
    <row r="1" spans="1:18" ht="17" thickBot="1" x14ac:dyDescent="0.4">
      <c r="A1" s="242" t="s">
        <v>108</v>
      </c>
      <c r="B1" s="242" t="s">
        <v>87</v>
      </c>
      <c r="C1" s="231" t="s">
        <v>109</v>
      </c>
      <c r="D1" s="231"/>
      <c r="E1" s="231" t="s">
        <v>160</v>
      </c>
      <c r="F1" s="231"/>
      <c r="G1" s="231" t="s">
        <v>161</v>
      </c>
      <c r="H1" s="231"/>
      <c r="I1" s="231" t="s">
        <v>162</v>
      </c>
      <c r="J1" s="231"/>
      <c r="K1" s="231" t="s">
        <v>163</v>
      </c>
      <c r="L1" s="231"/>
      <c r="M1" s="231" t="s">
        <v>164</v>
      </c>
      <c r="N1" s="231"/>
      <c r="O1" s="231" t="s">
        <v>165</v>
      </c>
      <c r="P1" s="231"/>
      <c r="Q1" s="262" t="s">
        <v>1020</v>
      </c>
      <c r="R1" s="262"/>
    </row>
    <row r="2" spans="1:18" ht="15" thickBot="1" x14ac:dyDescent="0.4">
      <c r="A2" s="231"/>
      <c r="B2" s="231"/>
      <c r="C2" s="85" t="s">
        <v>83</v>
      </c>
      <c r="D2" s="85" t="s">
        <v>94</v>
      </c>
      <c r="E2" s="85" t="s">
        <v>83</v>
      </c>
      <c r="F2" s="85" t="s">
        <v>94</v>
      </c>
      <c r="G2" s="85" t="s">
        <v>83</v>
      </c>
      <c r="H2" s="85" t="s">
        <v>94</v>
      </c>
      <c r="I2" s="85" t="s">
        <v>83</v>
      </c>
      <c r="J2" s="85" t="s">
        <v>94</v>
      </c>
      <c r="K2" s="85" t="s">
        <v>83</v>
      </c>
      <c r="L2" s="85" t="s">
        <v>94</v>
      </c>
      <c r="M2" s="85" t="s">
        <v>83</v>
      </c>
      <c r="N2" s="85" t="s">
        <v>94</v>
      </c>
      <c r="O2" s="85" t="s">
        <v>83</v>
      </c>
      <c r="P2" s="85" t="s">
        <v>94</v>
      </c>
      <c r="Q2" s="85" t="s">
        <v>83</v>
      </c>
      <c r="R2" s="85" t="s">
        <v>94</v>
      </c>
    </row>
    <row r="3" spans="1:18" x14ac:dyDescent="0.35">
      <c r="A3" t="s">
        <v>177</v>
      </c>
      <c r="B3" s="43">
        <v>194</v>
      </c>
      <c r="C3" s="43">
        <v>194</v>
      </c>
      <c r="D3" s="44">
        <f>(C3/B3)*100</f>
        <v>100</v>
      </c>
      <c r="E3" s="43">
        <v>182</v>
      </c>
      <c r="F3" s="44">
        <f>(E3/B3)*100</f>
        <v>93.814432989690715</v>
      </c>
      <c r="G3" s="6" t="s">
        <v>128</v>
      </c>
      <c r="H3" s="6" t="s">
        <v>128</v>
      </c>
      <c r="I3" s="6" t="s">
        <v>128</v>
      </c>
      <c r="J3" s="6" t="s">
        <v>128</v>
      </c>
      <c r="K3" s="43">
        <v>13</v>
      </c>
      <c r="L3" s="44">
        <f>(K3/B3)*100</f>
        <v>6.7010309278350517</v>
      </c>
      <c r="M3" s="43">
        <v>1</v>
      </c>
      <c r="N3" s="44">
        <f>(M3/B3)*100</f>
        <v>0.51546391752577314</v>
      </c>
      <c r="O3" s="43">
        <v>0</v>
      </c>
      <c r="P3" s="44">
        <f>(O3/B3)*100</f>
        <v>0</v>
      </c>
      <c r="Q3" s="6" t="s">
        <v>128</v>
      </c>
      <c r="R3" s="6" t="s">
        <v>128</v>
      </c>
    </row>
    <row r="4" spans="1:18" x14ac:dyDescent="0.35">
      <c r="A4" t="s">
        <v>183</v>
      </c>
      <c r="B4" s="43">
        <v>89</v>
      </c>
      <c r="C4" s="43">
        <v>81</v>
      </c>
      <c r="D4" s="44">
        <f t="shared" ref="D4:D36" si="0">(C4/B4)*100</f>
        <v>91.011235955056179</v>
      </c>
      <c r="E4" s="43">
        <v>66</v>
      </c>
      <c r="F4" s="44">
        <f t="shared" ref="F4:F36" si="1">(E4/B4)*100</f>
        <v>74.157303370786522</v>
      </c>
      <c r="G4" s="6" t="s">
        <v>128</v>
      </c>
      <c r="H4" s="6" t="s">
        <v>128</v>
      </c>
      <c r="I4" s="6" t="s">
        <v>128</v>
      </c>
      <c r="J4" s="6" t="s">
        <v>128</v>
      </c>
      <c r="K4" s="43">
        <v>15</v>
      </c>
      <c r="L4" s="44">
        <f t="shared" ref="L4:L36" si="2">(K4/B4)*100</f>
        <v>16.853932584269664</v>
      </c>
      <c r="M4" s="43">
        <v>0</v>
      </c>
      <c r="N4" s="44">
        <f t="shared" ref="N4:N36" si="3">(M4/B4)*100</f>
        <v>0</v>
      </c>
      <c r="O4" s="43">
        <v>0</v>
      </c>
      <c r="P4" s="44">
        <f t="shared" ref="P4:P36" si="4">(O4/B4)*100</f>
        <v>0</v>
      </c>
      <c r="Q4" s="6" t="s">
        <v>128</v>
      </c>
      <c r="R4" s="6" t="s">
        <v>128</v>
      </c>
    </row>
    <row r="5" spans="1:18" x14ac:dyDescent="0.35">
      <c r="A5" t="s">
        <v>118</v>
      </c>
      <c r="B5" s="43">
        <v>223</v>
      </c>
      <c r="C5" s="43">
        <v>221</v>
      </c>
      <c r="D5" s="44">
        <f t="shared" si="0"/>
        <v>99.103139013452918</v>
      </c>
      <c r="E5" s="43">
        <v>204</v>
      </c>
      <c r="F5" s="44">
        <f t="shared" si="1"/>
        <v>91.479820627802695</v>
      </c>
      <c r="G5" s="6">
        <v>100</v>
      </c>
      <c r="H5" s="44">
        <f>(G5/B5)*100</f>
        <v>44.843049327354265</v>
      </c>
      <c r="I5" s="6">
        <v>6</v>
      </c>
      <c r="J5" s="44">
        <f>(I5/B5)*100</f>
        <v>2.6905829596412558</v>
      </c>
      <c r="K5" s="43">
        <v>13</v>
      </c>
      <c r="L5" s="44">
        <f t="shared" si="2"/>
        <v>5.8295964125560538</v>
      </c>
      <c r="M5" s="43">
        <v>4</v>
      </c>
      <c r="N5" s="44">
        <f t="shared" si="3"/>
        <v>1.7937219730941705</v>
      </c>
      <c r="O5" s="43">
        <v>0</v>
      </c>
      <c r="P5" s="44">
        <f t="shared" si="4"/>
        <v>0</v>
      </c>
      <c r="Q5" s="55">
        <v>0</v>
      </c>
      <c r="R5" s="44">
        <f>(Q5/B5)*100</f>
        <v>0</v>
      </c>
    </row>
    <row r="6" spans="1:18" x14ac:dyDescent="0.35">
      <c r="A6" t="s">
        <v>120</v>
      </c>
      <c r="B6" s="43">
        <v>132</v>
      </c>
      <c r="C6" s="43">
        <v>131</v>
      </c>
      <c r="D6" s="44">
        <f t="shared" si="0"/>
        <v>99.242424242424249</v>
      </c>
      <c r="E6" s="43">
        <v>109</v>
      </c>
      <c r="F6" s="44">
        <f t="shared" si="1"/>
        <v>82.575757575757578</v>
      </c>
      <c r="G6" s="6">
        <v>16</v>
      </c>
      <c r="H6" s="44">
        <f t="shared" ref="H6:H34" si="5">(G6/B6)*100</f>
        <v>12.121212121212121</v>
      </c>
      <c r="I6" s="6">
        <v>0</v>
      </c>
      <c r="J6" s="44">
        <f t="shared" ref="J6:J34" si="6">(I6/B6)*100</f>
        <v>0</v>
      </c>
      <c r="K6" s="43">
        <v>22</v>
      </c>
      <c r="L6" s="44">
        <f t="shared" si="2"/>
        <v>16.666666666666664</v>
      </c>
      <c r="M6" s="43">
        <v>0</v>
      </c>
      <c r="N6" s="44">
        <f t="shared" si="3"/>
        <v>0</v>
      </c>
      <c r="O6" s="43">
        <v>0</v>
      </c>
      <c r="P6" s="44">
        <f t="shared" si="4"/>
        <v>0</v>
      </c>
      <c r="Q6" s="55">
        <v>0</v>
      </c>
      <c r="R6" s="44">
        <f>(Q6/B6)*100</f>
        <v>0</v>
      </c>
    </row>
    <row r="7" spans="1:18" x14ac:dyDescent="0.35">
      <c r="A7" t="s">
        <v>121</v>
      </c>
      <c r="B7" s="43">
        <v>7</v>
      </c>
      <c r="C7" s="43">
        <v>7</v>
      </c>
      <c r="D7" s="44">
        <f t="shared" si="0"/>
        <v>100</v>
      </c>
      <c r="E7" s="43">
        <v>5</v>
      </c>
      <c r="F7" s="44">
        <f t="shared" si="1"/>
        <v>71.428571428571431</v>
      </c>
      <c r="G7" s="6">
        <v>0</v>
      </c>
      <c r="H7" s="44">
        <f t="shared" si="5"/>
        <v>0</v>
      </c>
      <c r="I7" s="6">
        <v>0</v>
      </c>
      <c r="J7" s="44">
        <f t="shared" si="6"/>
        <v>0</v>
      </c>
      <c r="K7" s="43">
        <v>2</v>
      </c>
      <c r="L7" s="44">
        <f t="shared" si="2"/>
        <v>28.571428571428569</v>
      </c>
      <c r="M7" s="43">
        <v>0</v>
      </c>
      <c r="N7" s="44">
        <f t="shared" si="3"/>
        <v>0</v>
      </c>
      <c r="O7" s="43">
        <v>0</v>
      </c>
      <c r="P7" s="44">
        <f t="shared" si="4"/>
        <v>0</v>
      </c>
      <c r="Q7" s="55">
        <v>0</v>
      </c>
      <c r="R7" s="44">
        <f>(Q7/B7)*100</f>
        <v>0</v>
      </c>
    </row>
    <row r="8" spans="1:18" x14ac:dyDescent="0.35">
      <c r="A8" t="s">
        <v>204</v>
      </c>
      <c r="B8" s="43">
        <v>136</v>
      </c>
      <c r="C8" s="43">
        <v>136</v>
      </c>
      <c r="D8" s="44">
        <f t="shared" si="0"/>
        <v>100</v>
      </c>
      <c r="E8" s="43">
        <v>81</v>
      </c>
      <c r="F8" s="44">
        <f t="shared" si="1"/>
        <v>59.558823529411761</v>
      </c>
      <c r="G8" s="6" t="s">
        <v>128</v>
      </c>
      <c r="H8" s="44" t="s">
        <v>128</v>
      </c>
      <c r="I8" s="6" t="s">
        <v>128</v>
      </c>
      <c r="J8" s="44" t="s">
        <v>128</v>
      </c>
      <c r="K8" s="43">
        <v>55</v>
      </c>
      <c r="L8" s="44">
        <f t="shared" si="2"/>
        <v>40.441176470588239</v>
      </c>
      <c r="M8" s="43">
        <v>0</v>
      </c>
      <c r="N8" s="44">
        <f t="shared" si="3"/>
        <v>0</v>
      </c>
      <c r="O8" s="43">
        <v>0</v>
      </c>
      <c r="P8" s="44">
        <f t="shared" si="4"/>
        <v>0</v>
      </c>
      <c r="Q8" s="6" t="s">
        <v>119</v>
      </c>
      <c r="R8" s="44" t="s">
        <v>119</v>
      </c>
    </row>
    <row r="9" spans="1:18" x14ac:dyDescent="0.35">
      <c r="A9" t="s">
        <v>123</v>
      </c>
      <c r="B9" s="43">
        <v>54</v>
      </c>
      <c r="C9" s="43">
        <v>51</v>
      </c>
      <c r="D9" s="44">
        <f t="shared" si="0"/>
        <v>94.444444444444443</v>
      </c>
      <c r="E9" s="43">
        <v>5</v>
      </c>
      <c r="F9" s="44">
        <f t="shared" si="1"/>
        <v>9.2592592592592595</v>
      </c>
      <c r="G9" s="6">
        <v>2</v>
      </c>
      <c r="H9" s="44">
        <f t="shared" si="5"/>
        <v>3.7037037037037033</v>
      </c>
      <c r="I9" s="6">
        <v>1</v>
      </c>
      <c r="J9" s="44">
        <f t="shared" si="6"/>
        <v>1.8518518518518516</v>
      </c>
      <c r="K9" s="43">
        <v>43</v>
      </c>
      <c r="L9" s="44">
        <f t="shared" si="2"/>
        <v>79.629629629629633</v>
      </c>
      <c r="M9" s="43">
        <v>3</v>
      </c>
      <c r="N9" s="44">
        <f t="shared" si="3"/>
        <v>5.5555555555555554</v>
      </c>
      <c r="O9" s="43">
        <v>0</v>
      </c>
      <c r="P9" s="44">
        <f t="shared" si="4"/>
        <v>0</v>
      </c>
      <c r="Q9" s="55">
        <v>0</v>
      </c>
      <c r="R9" s="44">
        <f>(Q9/B9)*100</f>
        <v>0</v>
      </c>
    </row>
    <row r="10" spans="1:18" x14ac:dyDescent="0.35">
      <c r="A10" t="s">
        <v>124</v>
      </c>
      <c r="B10" s="43">
        <v>27</v>
      </c>
      <c r="C10" s="43">
        <v>27</v>
      </c>
      <c r="D10" s="44">
        <f t="shared" si="0"/>
        <v>100</v>
      </c>
      <c r="E10" s="43">
        <v>17</v>
      </c>
      <c r="F10" s="44">
        <f t="shared" si="1"/>
        <v>62.962962962962962</v>
      </c>
      <c r="G10" s="6">
        <v>2</v>
      </c>
      <c r="H10" s="44">
        <f t="shared" si="5"/>
        <v>7.4074074074074066</v>
      </c>
      <c r="I10" s="6">
        <v>0</v>
      </c>
      <c r="J10" s="44">
        <f>(I10/B10)*100</f>
        <v>0</v>
      </c>
      <c r="K10" s="43">
        <v>10</v>
      </c>
      <c r="L10" s="44">
        <f t="shared" si="2"/>
        <v>37.037037037037038</v>
      </c>
      <c r="M10" s="43">
        <v>0</v>
      </c>
      <c r="N10" s="44">
        <f t="shared" si="3"/>
        <v>0</v>
      </c>
      <c r="O10" s="43">
        <v>0</v>
      </c>
      <c r="P10" s="44">
        <f t="shared" si="4"/>
        <v>0</v>
      </c>
      <c r="Q10" s="55">
        <v>0</v>
      </c>
      <c r="R10" s="44">
        <f>(Q10/B10)*100</f>
        <v>0</v>
      </c>
    </row>
    <row r="11" spans="1:18" x14ac:dyDescent="0.35">
      <c r="A11" t="s">
        <v>217</v>
      </c>
      <c r="B11" s="43">
        <v>19</v>
      </c>
      <c r="C11" s="43">
        <v>19</v>
      </c>
      <c r="D11" s="44">
        <f t="shared" si="0"/>
        <v>100</v>
      </c>
      <c r="E11" s="43">
        <v>0</v>
      </c>
      <c r="F11" s="44">
        <f t="shared" si="1"/>
        <v>0</v>
      </c>
      <c r="G11" s="6" t="s">
        <v>128</v>
      </c>
      <c r="H11" s="44" t="s">
        <v>128</v>
      </c>
      <c r="I11" s="6" t="s">
        <v>128</v>
      </c>
      <c r="J11" s="44" t="s">
        <v>128</v>
      </c>
      <c r="K11" s="43">
        <v>19</v>
      </c>
      <c r="L11" s="44">
        <f t="shared" si="2"/>
        <v>100</v>
      </c>
      <c r="M11" s="43">
        <v>0</v>
      </c>
      <c r="N11" s="44">
        <f t="shared" si="3"/>
        <v>0</v>
      </c>
      <c r="O11" s="43">
        <v>0</v>
      </c>
      <c r="P11" s="44">
        <f t="shared" si="4"/>
        <v>0</v>
      </c>
      <c r="Q11" s="6" t="s">
        <v>119</v>
      </c>
      <c r="R11" s="44" t="s">
        <v>119</v>
      </c>
    </row>
    <row r="12" spans="1:18" x14ac:dyDescent="0.35">
      <c r="A12" t="s">
        <v>126</v>
      </c>
      <c r="B12" s="43">
        <v>20</v>
      </c>
      <c r="C12" s="43">
        <v>20</v>
      </c>
      <c r="D12" s="44">
        <f t="shared" si="0"/>
        <v>100</v>
      </c>
      <c r="E12" s="43">
        <v>13</v>
      </c>
      <c r="F12" s="44">
        <f t="shared" si="1"/>
        <v>65</v>
      </c>
      <c r="G12" s="6">
        <v>3</v>
      </c>
      <c r="H12" s="44">
        <f t="shared" si="5"/>
        <v>15</v>
      </c>
      <c r="I12" s="6">
        <v>0</v>
      </c>
      <c r="J12" s="44">
        <f t="shared" si="6"/>
        <v>0</v>
      </c>
      <c r="K12" s="43">
        <v>7</v>
      </c>
      <c r="L12" s="44">
        <f t="shared" si="2"/>
        <v>35</v>
      </c>
      <c r="M12" s="43">
        <v>0</v>
      </c>
      <c r="N12" s="44">
        <f t="shared" si="3"/>
        <v>0</v>
      </c>
      <c r="O12" s="43">
        <v>0</v>
      </c>
      <c r="P12" s="44">
        <f t="shared" si="4"/>
        <v>0</v>
      </c>
      <c r="Q12" s="55">
        <v>0</v>
      </c>
      <c r="R12" s="44">
        <f>(Q12/B12)*100</f>
        <v>0</v>
      </c>
    </row>
    <row r="13" spans="1:18" x14ac:dyDescent="0.35">
      <c r="A13" t="s">
        <v>127</v>
      </c>
      <c r="B13" s="43">
        <v>154</v>
      </c>
      <c r="C13" s="43">
        <v>154</v>
      </c>
      <c r="D13" s="44">
        <f t="shared" si="0"/>
        <v>100</v>
      </c>
      <c r="E13" s="43">
        <v>118</v>
      </c>
      <c r="F13" s="44">
        <f t="shared" si="1"/>
        <v>76.623376623376629</v>
      </c>
      <c r="G13" s="6" t="s">
        <v>128</v>
      </c>
      <c r="H13" s="44" t="s">
        <v>128</v>
      </c>
      <c r="I13" s="6" t="s">
        <v>128</v>
      </c>
      <c r="J13" s="44" t="s">
        <v>128</v>
      </c>
      <c r="K13" s="43">
        <v>36</v>
      </c>
      <c r="L13" s="44">
        <f t="shared" si="2"/>
        <v>23.376623376623375</v>
      </c>
      <c r="M13" s="43">
        <v>0</v>
      </c>
      <c r="N13" s="44">
        <f t="shared" si="3"/>
        <v>0</v>
      </c>
      <c r="O13" s="43">
        <v>0</v>
      </c>
      <c r="P13" s="44">
        <f t="shared" si="4"/>
        <v>0</v>
      </c>
      <c r="Q13" s="6" t="s">
        <v>119</v>
      </c>
      <c r="R13" s="44" t="s">
        <v>119</v>
      </c>
    </row>
    <row r="14" spans="1:18" x14ac:dyDescent="0.35">
      <c r="A14" t="s">
        <v>129</v>
      </c>
      <c r="B14" s="43">
        <v>32</v>
      </c>
      <c r="C14" s="43">
        <v>32</v>
      </c>
      <c r="D14" s="44">
        <f t="shared" si="0"/>
        <v>100</v>
      </c>
      <c r="E14" s="43">
        <v>28</v>
      </c>
      <c r="F14" s="44">
        <f t="shared" si="1"/>
        <v>87.5</v>
      </c>
      <c r="G14" s="6">
        <v>2</v>
      </c>
      <c r="H14" s="44">
        <f t="shared" si="5"/>
        <v>6.25</v>
      </c>
      <c r="I14" s="6">
        <v>0</v>
      </c>
      <c r="J14" s="44">
        <f t="shared" si="6"/>
        <v>0</v>
      </c>
      <c r="K14" s="43">
        <v>3</v>
      </c>
      <c r="L14" s="44">
        <f t="shared" si="2"/>
        <v>9.375</v>
      </c>
      <c r="M14" s="43">
        <v>1</v>
      </c>
      <c r="N14" s="44">
        <f t="shared" si="3"/>
        <v>3.125</v>
      </c>
      <c r="O14" s="43">
        <v>0</v>
      </c>
      <c r="P14" s="44">
        <f t="shared" si="4"/>
        <v>0</v>
      </c>
      <c r="Q14" s="55">
        <v>0</v>
      </c>
      <c r="R14" s="44">
        <f>(Q14/B14)*100</f>
        <v>0</v>
      </c>
    </row>
    <row r="15" spans="1:18" x14ac:dyDescent="0.35">
      <c r="A15" t="s">
        <v>130</v>
      </c>
      <c r="B15" s="43">
        <v>211</v>
      </c>
      <c r="C15" s="43">
        <v>206</v>
      </c>
      <c r="D15" s="44">
        <f t="shared" si="0"/>
        <v>97.630331753554501</v>
      </c>
      <c r="E15" s="43">
        <v>178</v>
      </c>
      <c r="F15" s="44">
        <f t="shared" si="1"/>
        <v>84.360189573459721</v>
      </c>
      <c r="G15" s="6">
        <v>59</v>
      </c>
      <c r="H15" s="44">
        <f t="shared" si="5"/>
        <v>27.962085308056871</v>
      </c>
      <c r="I15" s="6">
        <v>9</v>
      </c>
      <c r="J15" s="44">
        <f t="shared" si="6"/>
        <v>4.2654028436018958</v>
      </c>
      <c r="K15" s="43">
        <v>26</v>
      </c>
      <c r="L15" s="44">
        <f t="shared" si="2"/>
        <v>12.322274881516588</v>
      </c>
      <c r="M15" s="43">
        <v>2</v>
      </c>
      <c r="N15" s="44">
        <f t="shared" si="3"/>
        <v>0.94786729857819907</v>
      </c>
      <c r="O15" s="43">
        <v>0</v>
      </c>
      <c r="P15" s="44">
        <f t="shared" si="4"/>
        <v>0</v>
      </c>
      <c r="Q15" s="55">
        <v>2</v>
      </c>
      <c r="R15" s="44">
        <f>(Q15/B15)*100</f>
        <v>0.94786729857819907</v>
      </c>
    </row>
    <row r="16" spans="1:18" x14ac:dyDescent="0.35">
      <c r="A16" t="s">
        <v>131</v>
      </c>
      <c r="B16" s="43">
        <v>110</v>
      </c>
      <c r="C16" s="43">
        <v>106</v>
      </c>
      <c r="D16" s="44">
        <f t="shared" si="0"/>
        <v>96.36363636363636</v>
      </c>
      <c r="E16" s="43">
        <v>65</v>
      </c>
      <c r="F16" s="44">
        <f t="shared" si="1"/>
        <v>59.090909090909093</v>
      </c>
      <c r="G16" s="6">
        <v>27</v>
      </c>
      <c r="H16" s="44">
        <f t="shared" si="5"/>
        <v>24.545454545454547</v>
      </c>
      <c r="I16" s="6">
        <v>0</v>
      </c>
      <c r="J16" s="44">
        <f t="shared" si="6"/>
        <v>0</v>
      </c>
      <c r="K16" s="43">
        <v>38</v>
      </c>
      <c r="L16" s="44">
        <f t="shared" si="2"/>
        <v>34.545454545454547</v>
      </c>
      <c r="M16" s="43">
        <v>3</v>
      </c>
      <c r="N16" s="44">
        <f t="shared" si="3"/>
        <v>2.7272727272727271</v>
      </c>
      <c r="O16" s="43">
        <v>0</v>
      </c>
      <c r="P16" s="44">
        <f t="shared" si="4"/>
        <v>0</v>
      </c>
      <c r="Q16" s="55">
        <v>2</v>
      </c>
      <c r="R16" s="44">
        <f>(Q16/B16)*100</f>
        <v>1.8181818181818181</v>
      </c>
    </row>
    <row r="17" spans="1:18" x14ac:dyDescent="0.35">
      <c r="A17" t="s">
        <v>157</v>
      </c>
      <c r="B17" s="43">
        <v>214</v>
      </c>
      <c r="C17" s="43">
        <v>213</v>
      </c>
      <c r="D17" s="44">
        <f t="shared" si="0"/>
        <v>99.532710280373834</v>
      </c>
      <c r="E17" s="43">
        <v>169</v>
      </c>
      <c r="F17" s="44">
        <f t="shared" si="1"/>
        <v>78.971962616822438</v>
      </c>
      <c r="G17" s="6" t="s">
        <v>128</v>
      </c>
      <c r="H17" s="44" t="s">
        <v>128</v>
      </c>
      <c r="I17" s="6" t="s">
        <v>128</v>
      </c>
      <c r="J17" s="44" t="s">
        <v>128</v>
      </c>
      <c r="K17" s="43">
        <v>44</v>
      </c>
      <c r="L17" s="44">
        <f t="shared" si="2"/>
        <v>20.5607476635514</v>
      </c>
      <c r="M17" s="43">
        <v>0</v>
      </c>
      <c r="N17" s="44">
        <f t="shared" si="3"/>
        <v>0</v>
      </c>
      <c r="O17" s="43">
        <v>1</v>
      </c>
      <c r="P17" s="44">
        <f t="shared" si="4"/>
        <v>0.46728971962616817</v>
      </c>
      <c r="Q17" s="6" t="s">
        <v>119</v>
      </c>
      <c r="R17" s="44" t="s">
        <v>119</v>
      </c>
    </row>
    <row r="18" spans="1:18" x14ac:dyDescent="0.35">
      <c r="A18" t="s">
        <v>133</v>
      </c>
      <c r="B18" s="43">
        <v>85</v>
      </c>
      <c r="C18" s="43">
        <v>85</v>
      </c>
      <c r="D18" s="44">
        <f t="shared" si="0"/>
        <v>100</v>
      </c>
      <c r="E18" s="43">
        <v>79</v>
      </c>
      <c r="F18" s="44">
        <f t="shared" si="1"/>
        <v>92.941176470588232</v>
      </c>
      <c r="G18" s="6">
        <v>18</v>
      </c>
      <c r="H18" s="44">
        <f t="shared" si="5"/>
        <v>21.176470588235293</v>
      </c>
      <c r="I18" s="6">
        <v>0</v>
      </c>
      <c r="J18" s="44">
        <f t="shared" si="6"/>
        <v>0</v>
      </c>
      <c r="K18" s="43">
        <v>6</v>
      </c>
      <c r="L18" s="44">
        <f t="shared" si="2"/>
        <v>7.0588235294117645</v>
      </c>
      <c r="M18" s="43">
        <v>0</v>
      </c>
      <c r="N18" s="44">
        <f t="shared" si="3"/>
        <v>0</v>
      </c>
      <c r="O18" s="43">
        <v>0</v>
      </c>
      <c r="P18" s="44">
        <f t="shared" si="4"/>
        <v>0</v>
      </c>
      <c r="Q18" s="55">
        <v>0</v>
      </c>
      <c r="R18" s="44">
        <f>(Q18/B18)*100</f>
        <v>0</v>
      </c>
    </row>
    <row r="19" spans="1:18" x14ac:dyDescent="0.35">
      <c r="A19" t="s">
        <v>134</v>
      </c>
      <c r="B19" s="43">
        <v>47</v>
      </c>
      <c r="C19" s="43">
        <v>47</v>
      </c>
      <c r="D19" s="44">
        <f t="shared" si="0"/>
        <v>100</v>
      </c>
      <c r="E19" s="43">
        <v>41</v>
      </c>
      <c r="F19" s="44">
        <f t="shared" si="1"/>
        <v>87.2340425531915</v>
      </c>
      <c r="G19" s="6">
        <v>9</v>
      </c>
      <c r="H19" s="44">
        <f t="shared" si="5"/>
        <v>19.148936170212767</v>
      </c>
      <c r="I19" s="6">
        <v>0</v>
      </c>
      <c r="J19" s="44">
        <f t="shared" si="6"/>
        <v>0</v>
      </c>
      <c r="K19" s="43">
        <v>5</v>
      </c>
      <c r="L19" s="44">
        <f t="shared" si="2"/>
        <v>10.638297872340425</v>
      </c>
      <c r="M19" s="43">
        <v>1</v>
      </c>
      <c r="N19" s="44">
        <f t="shared" si="3"/>
        <v>2.1276595744680851</v>
      </c>
      <c r="O19" s="43">
        <v>0</v>
      </c>
      <c r="P19" s="44">
        <f t="shared" si="4"/>
        <v>0</v>
      </c>
      <c r="Q19" s="55">
        <v>0</v>
      </c>
      <c r="R19" s="44">
        <f>(Q19/B19)*100</f>
        <v>0</v>
      </c>
    </row>
    <row r="20" spans="1:18" x14ac:dyDescent="0.35">
      <c r="A20" t="s">
        <v>135</v>
      </c>
      <c r="B20" s="43">
        <v>38</v>
      </c>
      <c r="C20" s="43">
        <v>36</v>
      </c>
      <c r="D20" s="44">
        <f t="shared" si="0"/>
        <v>94.73684210526315</v>
      </c>
      <c r="E20" s="43">
        <v>33</v>
      </c>
      <c r="F20" s="44">
        <f t="shared" si="1"/>
        <v>86.842105263157904</v>
      </c>
      <c r="G20" s="6">
        <v>3</v>
      </c>
      <c r="H20" s="44">
        <f t="shared" si="5"/>
        <v>7.8947368421052628</v>
      </c>
      <c r="I20" s="6">
        <v>0</v>
      </c>
      <c r="J20" s="44">
        <f t="shared" si="6"/>
        <v>0</v>
      </c>
      <c r="K20" s="43">
        <v>3</v>
      </c>
      <c r="L20" s="44">
        <f t="shared" si="2"/>
        <v>7.8947368421052628</v>
      </c>
      <c r="M20" s="43">
        <v>0</v>
      </c>
      <c r="N20" s="44">
        <f t="shared" si="3"/>
        <v>0</v>
      </c>
      <c r="O20" s="43">
        <v>0</v>
      </c>
      <c r="P20" s="44">
        <f t="shared" si="4"/>
        <v>0</v>
      </c>
      <c r="Q20" s="55">
        <v>1</v>
      </c>
      <c r="R20" s="44">
        <f>(Q20/B20)*100</f>
        <v>2.6315789473684208</v>
      </c>
    </row>
    <row r="21" spans="1:18" x14ac:dyDescent="0.35">
      <c r="A21" t="s">
        <v>136</v>
      </c>
      <c r="B21" s="43">
        <v>55</v>
      </c>
      <c r="C21" s="43">
        <v>55</v>
      </c>
      <c r="D21" s="44">
        <f t="shared" si="0"/>
        <v>100</v>
      </c>
      <c r="E21" s="43">
        <v>50</v>
      </c>
      <c r="F21" s="44">
        <f t="shared" si="1"/>
        <v>90.909090909090907</v>
      </c>
      <c r="G21" s="6">
        <v>3</v>
      </c>
      <c r="H21" s="44">
        <f t="shared" si="5"/>
        <v>5.4545454545454541</v>
      </c>
      <c r="I21" s="6">
        <v>0</v>
      </c>
      <c r="J21" s="44">
        <f t="shared" si="6"/>
        <v>0</v>
      </c>
      <c r="K21" s="43">
        <v>1</v>
      </c>
      <c r="L21" s="44">
        <f t="shared" si="2"/>
        <v>1.8181818181818181</v>
      </c>
      <c r="M21" s="43">
        <v>4</v>
      </c>
      <c r="N21" s="44">
        <f t="shared" si="3"/>
        <v>7.2727272727272725</v>
      </c>
      <c r="O21" s="43">
        <v>0</v>
      </c>
      <c r="P21" s="44">
        <f t="shared" si="4"/>
        <v>0</v>
      </c>
      <c r="Q21" s="55">
        <v>0</v>
      </c>
      <c r="R21" s="44">
        <f>(Q21/B21)*100</f>
        <v>0</v>
      </c>
    </row>
    <row r="22" spans="1:18" x14ac:dyDescent="0.35">
      <c r="A22" t="s">
        <v>137</v>
      </c>
      <c r="B22" s="43">
        <v>46</v>
      </c>
      <c r="C22" s="43">
        <v>43</v>
      </c>
      <c r="D22" s="44">
        <f t="shared" si="0"/>
        <v>93.478260869565219</v>
      </c>
      <c r="E22" s="43">
        <v>23</v>
      </c>
      <c r="F22" s="44">
        <f t="shared" si="1"/>
        <v>50</v>
      </c>
      <c r="G22" s="6" t="s">
        <v>128</v>
      </c>
      <c r="H22" s="44" t="s">
        <v>128</v>
      </c>
      <c r="I22" s="6" t="s">
        <v>128</v>
      </c>
      <c r="J22" s="44" t="s">
        <v>128</v>
      </c>
      <c r="K22" s="43">
        <v>20</v>
      </c>
      <c r="L22" s="44">
        <f t="shared" si="2"/>
        <v>43.478260869565219</v>
      </c>
      <c r="M22" s="43">
        <v>0</v>
      </c>
      <c r="N22" s="44">
        <f t="shared" si="3"/>
        <v>0</v>
      </c>
      <c r="O22" s="43">
        <v>0</v>
      </c>
      <c r="P22" s="44">
        <f t="shared" si="4"/>
        <v>0</v>
      </c>
      <c r="Q22" s="6" t="s">
        <v>119</v>
      </c>
      <c r="R22" s="44" t="s">
        <v>119</v>
      </c>
    </row>
    <row r="23" spans="1:18" x14ac:dyDescent="0.35">
      <c r="A23" t="s">
        <v>138</v>
      </c>
      <c r="B23" s="43">
        <v>147</v>
      </c>
      <c r="C23" s="43">
        <v>145</v>
      </c>
      <c r="D23" s="44">
        <f t="shared" si="0"/>
        <v>98.639455782312922</v>
      </c>
      <c r="E23" s="43">
        <v>94</v>
      </c>
      <c r="F23" s="44">
        <f t="shared" si="1"/>
        <v>63.945578231292522</v>
      </c>
      <c r="G23" s="6">
        <v>20</v>
      </c>
      <c r="H23" s="44">
        <f t="shared" si="5"/>
        <v>13.605442176870749</v>
      </c>
      <c r="I23" s="6">
        <v>0</v>
      </c>
      <c r="J23" s="44">
        <f t="shared" si="6"/>
        <v>0</v>
      </c>
      <c r="K23" s="43">
        <v>45</v>
      </c>
      <c r="L23" s="44">
        <f t="shared" si="2"/>
        <v>30.612244897959183</v>
      </c>
      <c r="M23" s="43">
        <v>6</v>
      </c>
      <c r="N23" s="44">
        <f t="shared" si="3"/>
        <v>4.0816326530612246</v>
      </c>
      <c r="O23" s="43">
        <v>0</v>
      </c>
      <c r="P23" s="44">
        <f t="shared" si="4"/>
        <v>0</v>
      </c>
      <c r="Q23" s="55">
        <v>0</v>
      </c>
      <c r="R23" s="44">
        <f t="shared" ref="R23:R28" si="7">(Q23/B23)*100</f>
        <v>0</v>
      </c>
    </row>
    <row r="24" spans="1:18" x14ac:dyDescent="0.35">
      <c r="A24" t="s">
        <v>139</v>
      </c>
      <c r="B24" s="43">
        <v>230</v>
      </c>
      <c r="C24" s="43">
        <v>228</v>
      </c>
      <c r="D24" s="44">
        <f t="shared" si="0"/>
        <v>99.130434782608702</v>
      </c>
      <c r="E24" s="43">
        <v>183</v>
      </c>
      <c r="F24" s="44">
        <f t="shared" si="1"/>
        <v>79.565217391304344</v>
      </c>
      <c r="G24" s="6">
        <v>43</v>
      </c>
      <c r="H24" s="44">
        <f t="shared" si="5"/>
        <v>18.695652173913043</v>
      </c>
      <c r="I24" s="6">
        <v>0</v>
      </c>
      <c r="J24" s="44">
        <f t="shared" si="6"/>
        <v>0</v>
      </c>
      <c r="K24" s="43">
        <v>26</v>
      </c>
      <c r="L24" s="44">
        <f t="shared" si="2"/>
        <v>11.304347826086957</v>
      </c>
      <c r="M24" s="43">
        <v>19</v>
      </c>
      <c r="N24" s="44">
        <f t="shared" si="3"/>
        <v>8.2608695652173907</v>
      </c>
      <c r="O24" s="43">
        <v>2</v>
      </c>
      <c r="P24" s="44">
        <f t="shared" si="4"/>
        <v>0.86956521739130432</v>
      </c>
      <c r="Q24" s="55">
        <v>0</v>
      </c>
      <c r="R24" s="44">
        <f t="shared" si="7"/>
        <v>0</v>
      </c>
    </row>
    <row r="25" spans="1:18" x14ac:dyDescent="0.35">
      <c r="A25" t="s">
        <v>140</v>
      </c>
      <c r="B25" s="43">
        <v>222</v>
      </c>
      <c r="C25" s="43">
        <v>221</v>
      </c>
      <c r="D25" s="44">
        <f t="shared" si="0"/>
        <v>99.549549549549553</v>
      </c>
      <c r="E25" s="43">
        <v>152</v>
      </c>
      <c r="F25" s="44">
        <f t="shared" si="1"/>
        <v>68.468468468468473</v>
      </c>
      <c r="G25" s="6">
        <v>22</v>
      </c>
      <c r="H25" s="44">
        <f t="shared" si="5"/>
        <v>9.9099099099099099</v>
      </c>
      <c r="I25" s="6">
        <v>6</v>
      </c>
      <c r="J25" s="44">
        <f t="shared" si="6"/>
        <v>2.7027027027027026</v>
      </c>
      <c r="K25" s="43">
        <v>51</v>
      </c>
      <c r="L25" s="44">
        <f t="shared" si="2"/>
        <v>22.972972972972975</v>
      </c>
      <c r="M25" s="43">
        <v>18</v>
      </c>
      <c r="N25" s="44">
        <f t="shared" si="3"/>
        <v>8.1081081081081088</v>
      </c>
      <c r="O25" s="43">
        <v>0</v>
      </c>
      <c r="P25" s="44">
        <f t="shared" si="4"/>
        <v>0</v>
      </c>
      <c r="Q25" s="55">
        <v>1</v>
      </c>
      <c r="R25" s="44">
        <f t="shared" si="7"/>
        <v>0.45045045045045046</v>
      </c>
    </row>
    <row r="26" spans="1:18" x14ac:dyDescent="0.35">
      <c r="A26" t="s">
        <v>141</v>
      </c>
      <c r="B26" s="43">
        <v>89</v>
      </c>
      <c r="C26" s="43">
        <v>86</v>
      </c>
      <c r="D26" s="44">
        <f t="shared" si="0"/>
        <v>96.629213483146074</v>
      </c>
      <c r="E26" s="43">
        <v>56</v>
      </c>
      <c r="F26" s="44">
        <f t="shared" si="1"/>
        <v>62.921348314606739</v>
      </c>
      <c r="G26" s="6">
        <v>37</v>
      </c>
      <c r="H26" s="44">
        <f t="shared" si="5"/>
        <v>41.573033707865171</v>
      </c>
      <c r="I26" s="6">
        <v>4</v>
      </c>
      <c r="J26" s="44">
        <f t="shared" si="6"/>
        <v>4.4943820224719104</v>
      </c>
      <c r="K26" s="43">
        <v>28</v>
      </c>
      <c r="L26" s="44">
        <f t="shared" si="2"/>
        <v>31.460674157303369</v>
      </c>
      <c r="M26" s="43">
        <v>2</v>
      </c>
      <c r="N26" s="44">
        <f t="shared" si="3"/>
        <v>2.2471910112359552</v>
      </c>
      <c r="O26" s="43">
        <v>0</v>
      </c>
      <c r="P26" s="44">
        <f t="shared" si="4"/>
        <v>0</v>
      </c>
      <c r="Q26" s="55">
        <v>2</v>
      </c>
      <c r="R26" s="44">
        <f t="shared" si="7"/>
        <v>2.2471910112359552</v>
      </c>
    </row>
    <row r="27" spans="1:18" x14ac:dyDescent="0.35">
      <c r="A27" t="s">
        <v>142</v>
      </c>
      <c r="B27" s="43">
        <v>81</v>
      </c>
      <c r="C27" s="43">
        <v>80</v>
      </c>
      <c r="D27" s="44">
        <f t="shared" si="0"/>
        <v>98.76543209876543</v>
      </c>
      <c r="E27" s="43">
        <v>33</v>
      </c>
      <c r="F27" s="44">
        <f t="shared" si="1"/>
        <v>40.74074074074074</v>
      </c>
      <c r="G27" s="6">
        <v>18</v>
      </c>
      <c r="H27" s="44">
        <f t="shared" si="5"/>
        <v>22.222222222222221</v>
      </c>
      <c r="I27" s="6">
        <v>0</v>
      </c>
      <c r="J27" s="44">
        <f t="shared" si="6"/>
        <v>0</v>
      </c>
      <c r="K27" s="43">
        <v>47</v>
      </c>
      <c r="L27" s="44">
        <f t="shared" si="2"/>
        <v>58.024691358024697</v>
      </c>
      <c r="M27" s="43">
        <v>0</v>
      </c>
      <c r="N27" s="44">
        <f t="shared" si="3"/>
        <v>0</v>
      </c>
      <c r="O27" s="43">
        <v>0</v>
      </c>
      <c r="P27" s="44">
        <f t="shared" si="4"/>
        <v>0</v>
      </c>
      <c r="Q27" s="55">
        <v>1</v>
      </c>
      <c r="R27" s="44">
        <f t="shared" si="7"/>
        <v>1.2345679012345678</v>
      </c>
    </row>
    <row r="28" spans="1:18" x14ac:dyDescent="0.35">
      <c r="A28" t="s">
        <v>143</v>
      </c>
      <c r="B28" s="43">
        <v>339</v>
      </c>
      <c r="C28" s="43">
        <v>338</v>
      </c>
      <c r="D28" s="44">
        <f t="shared" si="0"/>
        <v>99.705014749262531</v>
      </c>
      <c r="E28" s="43">
        <v>265</v>
      </c>
      <c r="F28" s="44">
        <f t="shared" si="1"/>
        <v>78.171091445427734</v>
      </c>
      <c r="G28" s="6">
        <v>66</v>
      </c>
      <c r="H28" s="44">
        <f t="shared" si="5"/>
        <v>19.469026548672566</v>
      </c>
      <c r="I28" s="6">
        <v>0</v>
      </c>
      <c r="J28" s="44">
        <f t="shared" si="6"/>
        <v>0</v>
      </c>
      <c r="K28" s="43">
        <v>57</v>
      </c>
      <c r="L28" s="44">
        <f t="shared" si="2"/>
        <v>16.814159292035399</v>
      </c>
      <c r="M28" s="43">
        <v>16</v>
      </c>
      <c r="N28" s="44">
        <f t="shared" si="3"/>
        <v>4.71976401179941</v>
      </c>
      <c r="O28" s="43">
        <v>1</v>
      </c>
      <c r="P28" s="44">
        <f t="shared" si="4"/>
        <v>0.29498525073746312</v>
      </c>
      <c r="Q28" s="55">
        <v>0</v>
      </c>
      <c r="R28" s="44">
        <f t="shared" si="7"/>
        <v>0</v>
      </c>
    </row>
    <row r="29" spans="1:18" x14ac:dyDescent="0.35">
      <c r="A29" t="s">
        <v>297</v>
      </c>
      <c r="B29" s="43">
        <v>10</v>
      </c>
      <c r="C29" s="43">
        <v>10</v>
      </c>
      <c r="D29" s="44">
        <f t="shared" si="0"/>
        <v>100</v>
      </c>
      <c r="E29" s="43">
        <v>2</v>
      </c>
      <c r="F29" s="44">
        <f t="shared" si="1"/>
        <v>20</v>
      </c>
      <c r="G29" s="6" t="s">
        <v>128</v>
      </c>
      <c r="H29" s="44" t="s">
        <v>128</v>
      </c>
      <c r="I29" s="6" t="s">
        <v>128</v>
      </c>
      <c r="J29" s="44" t="s">
        <v>128</v>
      </c>
      <c r="K29" s="43">
        <v>8</v>
      </c>
      <c r="L29" s="44">
        <f t="shared" si="2"/>
        <v>80</v>
      </c>
      <c r="M29" s="43">
        <v>0</v>
      </c>
      <c r="N29" s="44">
        <f t="shared" si="3"/>
        <v>0</v>
      </c>
      <c r="O29" s="43">
        <v>0</v>
      </c>
      <c r="P29" s="44">
        <f t="shared" si="4"/>
        <v>0</v>
      </c>
      <c r="Q29" s="6" t="s">
        <v>119</v>
      </c>
      <c r="R29" s="44" t="s">
        <v>119</v>
      </c>
    </row>
    <row r="30" spans="1:18" ht="15" thickBot="1" x14ac:dyDescent="0.4">
      <c r="A30" s="3" t="s">
        <v>298</v>
      </c>
      <c r="B30" s="66">
        <v>109</v>
      </c>
      <c r="C30" s="66">
        <v>109</v>
      </c>
      <c r="D30" s="65">
        <f t="shared" si="0"/>
        <v>100</v>
      </c>
      <c r="E30" s="66">
        <v>69</v>
      </c>
      <c r="F30" s="65">
        <f t="shared" si="1"/>
        <v>63.302752293577981</v>
      </c>
      <c r="G30" s="64">
        <v>28</v>
      </c>
      <c r="H30" s="65">
        <f t="shared" si="5"/>
        <v>25.688073394495415</v>
      </c>
      <c r="I30" s="64">
        <v>2</v>
      </c>
      <c r="J30" s="65">
        <f t="shared" si="6"/>
        <v>1.834862385321101</v>
      </c>
      <c r="K30" s="66">
        <v>40</v>
      </c>
      <c r="L30" s="65">
        <f t="shared" si="2"/>
        <v>36.697247706422019</v>
      </c>
      <c r="M30" s="66">
        <v>0</v>
      </c>
      <c r="N30" s="65">
        <f t="shared" si="3"/>
        <v>0</v>
      </c>
      <c r="O30" s="66">
        <v>0</v>
      </c>
      <c r="P30" s="65">
        <f t="shared" si="4"/>
        <v>0</v>
      </c>
      <c r="Q30" s="55">
        <v>0</v>
      </c>
      <c r="R30" s="44">
        <f>(Q30/B30)*100</f>
        <v>0</v>
      </c>
    </row>
    <row r="31" spans="1:18" ht="15" thickBot="1" x14ac:dyDescent="0.4">
      <c r="A31" s="79" t="s">
        <v>973</v>
      </c>
      <c r="B31" s="93">
        <f>SUM(B3:B30)</f>
        <v>3120</v>
      </c>
      <c r="C31" s="93">
        <f>SUM(C3:C30)</f>
        <v>3081</v>
      </c>
      <c r="D31" s="94">
        <f t="shared" si="0"/>
        <v>98.75</v>
      </c>
      <c r="E31" s="93">
        <f>SUM(E3:E30)</f>
        <v>2320</v>
      </c>
      <c r="F31" s="94">
        <f t="shared" si="1"/>
        <v>74.358974358974365</v>
      </c>
      <c r="G31" s="85">
        <f>SUM(G3:G30)</f>
        <v>478</v>
      </c>
      <c r="H31" s="94">
        <f>(G31/B31)*100</f>
        <v>15.320512820512821</v>
      </c>
      <c r="I31" s="85">
        <f>SUM(I3:I30)</f>
        <v>28</v>
      </c>
      <c r="J31" s="94">
        <f>(I31/B31)*100</f>
        <v>0.89743589743589736</v>
      </c>
      <c r="K31" s="93">
        <f>SUM(K3:K30)</f>
        <v>683</v>
      </c>
      <c r="L31" s="94">
        <f t="shared" si="2"/>
        <v>21.891025641025642</v>
      </c>
      <c r="M31" s="93">
        <f>SUM(M3:M30)</f>
        <v>80</v>
      </c>
      <c r="N31" s="94">
        <f t="shared" si="3"/>
        <v>2.5641025641025639</v>
      </c>
      <c r="O31" s="93">
        <f>SUM(O3:O30)</f>
        <v>4</v>
      </c>
      <c r="P31" s="94">
        <f t="shared" si="4"/>
        <v>0.12820512820512819</v>
      </c>
      <c r="Q31" s="82">
        <f>SUM(Q3:Q30)</f>
        <v>9</v>
      </c>
      <c r="R31" s="81">
        <f>(Q31/B31)*100</f>
        <v>0.28846153846153849</v>
      </c>
    </row>
    <row r="32" spans="1:18" x14ac:dyDescent="0.35">
      <c r="A32" t="s">
        <v>147</v>
      </c>
      <c r="B32" s="43">
        <v>2</v>
      </c>
      <c r="C32" s="43">
        <v>2</v>
      </c>
      <c r="D32" s="44">
        <f t="shared" si="0"/>
        <v>100</v>
      </c>
      <c r="E32" s="43">
        <v>2</v>
      </c>
      <c r="F32" s="44">
        <f t="shared" si="1"/>
        <v>100</v>
      </c>
      <c r="G32" s="6">
        <v>0</v>
      </c>
      <c r="H32" s="44">
        <f t="shared" si="5"/>
        <v>0</v>
      </c>
      <c r="I32" s="6">
        <v>0</v>
      </c>
      <c r="J32" s="44">
        <f t="shared" si="6"/>
        <v>0</v>
      </c>
      <c r="K32" s="43">
        <v>0</v>
      </c>
      <c r="L32" s="44">
        <f t="shared" si="2"/>
        <v>0</v>
      </c>
      <c r="M32" s="43">
        <v>0</v>
      </c>
      <c r="N32" s="44">
        <f t="shared" si="3"/>
        <v>0</v>
      </c>
      <c r="O32" s="43">
        <v>0</v>
      </c>
      <c r="P32" s="44">
        <f t="shared" si="4"/>
        <v>0</v>
      </c>
      <c r="Q32" s="6">
        <v>0</v>
      </c>
      <c r="R32" s="44">
        <v>0</v>
      </c>
    </row>
    <row r="33" spans="1:18" x14ac:dyDescent="0.35">
      <c r="A33" t="s">
        <v>169</v>
      </c>
      <c r="B33" s="43">
        <v>66</v>
      </c>
      <c r="C33" s="43">
        <v>65</v>
      </c>
      <c r="D33" s="44">
        <f>(C33/B33)*100</f>
        <v>98.484848484848484</v>
      </c>
      <c r="E33" s="43">
        <v>6</v>
      </c>
      <c r="F33" s="44">
        <f>(E33/B33)*100</f>
        <v>9.0909090909090917</v>
      </c>
      <c r="G33" s="6" t="s">
        <v>128</v>
      </c>
      <c r="H33" s="6" t="s">
        <v>128</v>
      </c>
      <c r="I33" s="6" t="s">
        <v>128</v>
      </c>
      <c r="J33" s="6" t="s">
        <v>128</v>
      </c>
      <c r="K33" s="43">
        <v>59</v>
      </c>
      <c r="L33" s="44">
        <f>(K33/B33)*100</f>
        <v>89.393939393939391</v>
      </c>
      <c r="M33" s="43">
        <v>0</v>
      </c>
      <c r="N33" s="44">
        <f>(M33/B33)*100</f>
        <v>0</v>
      </c>
      <c r="O33" s="43">
        <v>0</v>
      </c>
      <c r="P33" s="44">
        <f>(O33/B33)*100</f>
        <v>0</v>
      </c>
      <c r="Q33" s="6" t="s">
        <v>128</v>
      </c>
      <c r="R33" s="6" t="s">
        <v>128</v>
      </c>
    </row>
    <row r="34" spans="1:18" ht="15" thickBot="1" x14ac:dyDescent="0.4">
      <c r="A34" s="3" t="s">
        <v>150</v>
      </c>
      <c r="B34" s="66">
        <v>19</v>
      </c>
      <c r="C34" s="66">
        <v>19</v>
      </c>
      <c r="D34" s="65">
        <f t="shared" si="0"/>
        <v>100</v>
      </c>
      <c r="E34" s="66">
        <v>12</v>
      </c>
      <c r="F34" s="65">
        <f t="shared" si="1"/>
        <v>63.157894736842103</v>
      </c>
      <c r="G34" s="64">
        <v>1</v>
      </c>
      <c r="H34" s="65">
        <f t="shared" si="5"/>
        <v>5.2631578947368416</v>
      </c>
      <c r="I34" s="64">
        <v>0</v>
      </c>
      <c r="J34" s="65">
        <f t="shared" si="6"/>
        <v>0</v>
      </c>
      <c r="K34" s="66">
        <v>6</v>
      </c>
      <c r="L34" s="65">
        <f t="shared" si="2"/>
        <v>31.578947368421051</v>
      </c>
      <c r="M34" s="66">
        <v>1</v>
      </c>
      <c r="N34" s="65">
        <f t="shared" si="3"/>
        <v>5.2631578947368416</v>
      </c>
      <c r="O34" s="66">
        <v>0</v>
      </c>
      <c r="P34" s="65">
        <f t="shared" si="4"/>
        <v>0</v>
      </c>
      <c r="Q34" s="64">
        <v>0</v>
      </c>
      <c r="R34" s="65">
        <v>0</v>
      </c>
    </row>
    <row r="35" spans="1:18" ht="15" thickBot="1" x14ac:dyDescent="0.4">
      <c r="A35" s="79" t="s">
        <v>315</v>
      </c>
      <c r="B35" s="93">
        <f t="shared" ref="B35:C35" si="8">SUM(B32:B34)</f>
        <v>87</v>
      </c>
      <c r="C35" s="93">
        <f t="shared" si="8"/>
        <v>86</v>
      </c>
      <c r="D35" s="94">
        <f t="shared" si="0"/>
        <v>98.850574712643677</v>
      </c>
      <c r="E35" s="93">
        <v>20</v>
      </c>
      <c r="F35" s="94">
        <f t="shared" si="1"/>
        <v>22.988505747126435</v>
      </c>
      <c r="G35" s="85">
        <v>1</v>
      </c>
      <c r="H35" s="94">
        <f>(G35/B35)*100</f>
        <v>1.1494252873563218</v>
      </c>
      <c r="I35" s="85">
        <v>0</v>
      </c>
      <c r="J35" s="94">
        <f>(I35/B35)*100</f>
        <v>0</v>
      </c>
      <c r="K35" s="93">
        <v>65</v>
      </c>
      <c r="L35" s="94">
        <f t="shared" si="2"/>
        <v>74.712643678160916</v>
      </c>
      <c r="M35" s="93">
        <v>1</v>
      </c>
      <c r="N35" s="94">
        <f t="shared" si="3"/>
        <v>1.1494252873563218</v>
      </c>
      <c r="O35" s="93">
        <v>0</v>
      </c>
      <c r="P35" s="94">
        <f t="shared" si="4"/>
        <v>0</v>
      </c>
      <c r="Q35" s="85">
        <v>0</v>
      </c>
      <c r="R35" s="94">
        <f>(Q35/B35)*100</f>
        <v>0</v>
      </c>
    </row>
    <row r="36" spans="1:18" ht="15" thickBot="1" x14ac:dyDescent="0.4">
      <c r="A36" s="79" t="s">
        <v>903</v>
      </c>
      <c r="B36" s="93">
        <f>B31+B35</f>
        <v>3207</v>
      </c>
      <c r="C36" s="93">
        <f>C31+C35</f>
        <v>3167</v>
      </c>
      <c r="D36" s="94">
        <f t="shared" si="0"/>
        <v>98.75272840661053</v>
      </c>
      <c r="E36" s="93">
        <f>E31+E35</f>
        <v>2340</v>
      </c>
      <c r="F36" s="94">
        <f t="shared" si="1"/>
        <v>72.965388213283447</v>
      </c>
      <c r="G36" s="85">
        <f>G31+G35</f>
        <v>479</v>
      </c>
      <c r="H36" s="94">
        <f>(G36/B36)*100</f>
        <v>14.93607733083879</v>
      </c>
      <c r="I36" s="85">
        <f>I31+I35</f>
        <v>28</v>
      </c>
      <c r="J36" s="94">
        <f>(I36/B36)*100</f>
        <v>0.87309011537262238</v>
      </c>
      <c r="K36" s="93">
        <f>K31+K35</f>
        <v>748</v>
      </c>
      <c r="L36" s="94">
        <f t="shared" si="2"/>
        <v>23.323978796382914</v>
      </c>
      <c r="M36" s="93">
        <f>M31+M35</f>
        <v>81</v>
      </c>
      <c r="N36" s="94">
        <f t="shared" si="3"/>
        <v>2.5257249766136578</v>
      </c>
      <c r="O36" s="93">
        <f>O31+O35</f>
        <v>4</v>
      </c>
      <c r="P36" s="94">
        <f t="shared" si="4"/>
        <v>0.12472715933894606</v>
      </c>
      <c r="Q36" s="85">
        <f>Q31+Q35</f>
        <v>9</v>
      </c>
      <c r="R36" s="94">
        <f>(Q36/B36)*100</f>
        <v>0.2806361085126286</v>
      </c>
    </row>
    <row r="37" spans="1:18" x14ac:dyDescent="0.35">
      <c r="A37" s="8"/>
      <c r="B37" s="61"/>
      <c r="C37" s="61"/>
      <c r="D37" s="62"/>
      <c r="E37" s="61"/>
      <c r="F37" s="62"/>
      <c r="G37" s="5"/>
      <c r="H37" s="62"/>
      <c r="I37" s="5"/>
      <c r="J37" s="62"/>
      <c r="K37" s="61"/>
      <c r="L37" s="62"/>
      <c r="M37" s="61"/>
      <c r="N37" s="62"/>
      <c r="O37" s="61"/>
      <c r="P37" s="62"/>
      <c r="Q37" s="5"/>
      <c r="R37" s="62"/>
    </row>
    <row r="38" spans="1:18" x14ac:dyDescent="0.35">
      <c r="A38" t="s">
        <v>970</v>
      </c>
      <c r="B38" s="61"/>
      <c r="C38" s="61"/>
      <c r="D38" s="62"/>
      <c r="E38" s="61"/>
      <c r="F38" s="62"/>
      <c r="G38" s="5"/>
      <c r="H38" s="62"/>
      <c r="I38" s="5"/>
      <c r="J38" s="62"/>
      <c r="K38" s="61"/>
      <c r="L38" s="62"/>
      <c r="M38" s="61"/>
      <c r="N38" s="62"/>
      <c r="O38" s="61"/>
      <c r="P38" s="62"/>
      <c r="Q38" s="5"/>
      <c r="R38" s="62"/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17">
    <tabColor theme="9" tint="0.79998168889431442"/>
  </sheetPr>
  <dimension ref="A1:R21"/>
  <sheetViews>
    <sheetView zoomScale="80" zoomScaleNormal="80" workbookViewId="0">
      <pane ySplit="2" topLeftCell="A3" activePane="bottomLeft" state="frozen"/>
      <selection pane="bottomLeft" activeCell="B1" sqref="B1:B2"/>
    </sheetView>
  </sheetViews>
  <sheetFormatPr defaultColWidth="10.6328125" defaultRowHeight="14.5" x14ac:dyDescent="0.35"/>
  <cols>
    <col min="1" max="1" width="32.54296875" customWidth="1"/>
    <col min="3" max="17" width="12.81640625" customWidth="1"/>
    <col min="18" max="18" width="12.81640625" style="2" customWidth="1"/>
  </cols>
  <sheetData>
    <row r="1" spans="1:18" ht="17" thickBot="1" x14ac:dyDescent="0.4">
      <c r="A1" s="265" t="s">
        <v>108</v>
      </c>
      <c r="B1" s="265" t="s">
        <v>87</v>
      </c>
      <c r="C1" s="264" t="s">
        <v>109</v>
      </c>
      <c r="D1" s="264"/>
      <c r="E1" s="264" t="s">
        <v>160</v>
      </c>
      <c r="F1" s="264"/>
      <c r="G1" s="264" t="s">
        <v>161</v>
      </c>
      <c r="H1" s="264"/>
      <c r="I1" s="264" t="s">
        <v>162</v>
      </c>
      <c r="J1" s="264"/>
      <c r="K1" s="264" t="s">
        <v>163</v>
      </c>
      <c r="L1" s="264"/>
      <c r="M1" s="264" t="s">
        <v>164</v>
      </c>
      <c r="N1" s="264"/>
      <c r="O1" s="264" t="s">
        <v>165</v>
      </c>
      <c r="P1" s="264"/>
      <c r="Q1" s="264" t="s">
        <v>1020</v>
      </c>
      <c r="R1" s="264"/>
    </row>
    <row r="2" spans="1:18" ht="15" thickBot="1" x14ac:dyDescent="0.4">
      <c r="A2" s="231"/>
      <c r="B2" s="231"/>
      <c r="C2" s="85" t="s">
        <v>83</v>
      </c>
      <c r="D2" s="85" t="s">
        <v>94</v>
      </c>
      <c r="E2" s="85" t="s">
        <v>83</v>
      </c>
      <c r="F2" s="85" t="s">
        <v>94</v>
      </c>
      <c r="G2" s="85" t="s">
        <v>83</v>
      </c>
      <c r="H2" s="85" t="s">
        <v>94</v>
      </c>
      <c r="I2" s="85" t="s">
        <v>83</v>
      </c>
      <c r="J2" s="85" t="s">
        <v>94</v>
      </c>
      <c r="K2" s="85" t="s">
        <v>83</v>
      </c>
      <c r="L2" s="85" t="s">
        <v>94</v>
      </c>
      <c r="M2" s="85" t="s">
        <v>83</v>
      </c>
      <c r="N2" s="85" t="s">
        <v>94</v>
      </c>
      <c r="O2" s="85" t="s">
        <v>83</v>
      </c>
      <c r="P2" s="85" t="s">
        <v>94</v>
      </c>
      <c r="Q2" s="85" t="s">
        <v>83</v>
      </c>
      <c r="R2" s="94" t="s">
        <v>94</v>
      </c>
    </row>
    <row r="3" spans="1:18" x14ac:dyDescent="0.35">
      <c r="A3" t="s">
        <v>177</v>
      </c>
      <c r="B3" s="43">
        <v>77</v>
      </c>
      <c r="C3" s="43">
        <v>77</v>
      </c>
      <c r="D3" s="44">
        <f>(C3/B3)*100</f>
        <v>100</v>
      </c>
      <c r="E3" s="43">
        <v>66</v>
      </c>
      <c r="F3" s="44">
        <f>(E3/B3)*100</f>
        <v>85.714285714285708</v>
      </c>
      <c r="G3" s="6" t="s">
        <v>128</v>
      </c>
      <c r="H3" s="6" t="s">
        <v>128</v>
      </c>
      <c r="I3" s="6" t="s">
        <v>128</v>
      </c>
      <c r="J3" s="6" t="s">
        <v>128</v>
      </c>
      <c r="K3" s="43">
        <v>11</v>
      </c>
      <c r="L3" s="44">
        <f>(K3/B3)*100</f>
        <v>14.285714285714285</v>
      </c>
      <c r="M3" s="43">
        <v>0</v>
      </c>
      <c r="N3" s="44">
        <f>(M3/B3)*100</f>
        <v>0</v>
      </c>
      <c r="O3" s="43">
        <v>0</v>
      </c>
      <c r="P3" s="44">
        <f>(O3/B3)*100</f>
        <v>0</v>
      </c>
      <c r="Q3" s="6" t="s">
        <v>128</v>
      </c>
      <c r="R3" s="6" t="s">
        <v>128</v>
      </c>
    </row>
    <row r="4" spans="1:18" x14ac:dyDescent="0.35">
      <c r="A4" t="s">
        <v>183</v>
      </c>
      <c r="B4" s="43">
        <v>198</v>
      </c>
      <c r="C4" s="43">
        <v>194</v>
      </c>
      <c r="D4" s="44">
        <f t="shared" ref="D4:D15" si="0">(C4/B4)*100</f>
        <v>97.979797979797979</v>
      </c>
      <c r="E4" s="43">
        <v>179</v>
      </c>
      <c r="F4" s="44">
        <f t="shared" ref="F4:F17" si="1">(E4/B4)*100</f>
        <v>90.404040404040416</v>
      </c>
      <c r="G4" s="6" t="s">
        <v>128</v>
      </c>
      <c r="H4" s="6" t="s">
        <v>128</v>
      </c>
      <c r="I4" s="6" t="s">
        <v>128</v>
      </c>
      <c r="J4" s="6" t="s">
        <v>128</v>
      </c>
      <c r="K4" s="43">
        <v>15</v>
      </c>
      <c r="L4" s="44">
        <f t="shared" ref="L4:L17" si="2">(K4/B4)*100</f>
        <v>7.5757575757575761</v>
      </c>
      <c r="M4" s="43">
        <v>0</v>
      </c>
      <c r="N4" s="44">
        <f t="shared" ref="N4:N17" si="3">(M4/B4)*100</f>
        <v>0</v>
      </c>
      <c r="O4" s="43">
        <v>0</v>
      </c>
      <c r="P4" s="44">
        <f t="shared" ref="P4:P17" si="4">(O4/B4)*100</f>
        <v>0</v>
      </c>
      <c r="Q4" s="6" t="s">
        <v>128</v>
      </c>
      <c r="R4" s="6" t="s">
        <v>128</v>
      </c>
    </row>
    <row r="5" spans="1:18" x14ac:dyDescent="0.35">
      <c r="A5" t="s">
        <v>120</v>
      </c>
      <c r="B5" s="43">
        <v>85</v>
      </c>
      <c r="C5" s="43">
        <v>84</v>
      </c>
      <c r="D5" s="44">
        <f t="shared" si="0"/>
        <v>98.82352941176471</v>
      </c>
      <c r="E5" s="43">
        <v>74</v>
      </c>
      <c r="F5" s="44">
        <f t="shared" si="1"/>
        <v>87.058823529411768</v>
      </c>
      <c r="G5" s="6">
        <v>5</v>
      </c>
      <c r="H5" s="44">
        <f>(G5/B5)*100</f>
        <v>5.8823529411764701</v>
      </c>
      <c r="I5" s="6">
        <v>0</v>
      </c>
      <c r="J5" s="44">
        <f>(I5/B5)*100</f>
        <v>0</v>
      </c>
      <c r="K5" s="43">
        <v>9</v>
      </c>
      <c r="L5" s="44">
        <f t="shared" si="2"/>
        <v>10.588235294117647</v>
      </c>
      <c r="M5" s="43">
        <v>1</v>
      </c>
      <c r="N5" s="44">
        <f t="shared" si="3"/>
        <v>1.1764705882352942</v>
      </c>
      <c r="O5" s="43">
        <v>0</v>
      </c>
      <c r="P5" s="44">
        <f t="shared" si="4"/>
        <v>0</v>
      </c>
      <c r="Q5" s="43">
        <v>1</v>
      </c>
      <c r="R5" s="44">
        <f>(Q5/B5)*100</f>
        <v>1.1764705882352942</v>
      </c>
    </row>
    <row r="6" spans="1:18" x14ac:dyDescent="0.35">
      <c r="A6" t="s">
        <v>123</v>
      </c>
      <c r="B6" s="43">
        <v>13</v>
      </c>
      <c r="C6" s="43">
        <v>13</v>
      </c>
      <c r="D6" s="44">
        <f t="shared" si="0"/>
        <v>100</v>
      </c>
      <c r="E6" s="43">
        <v>2</v>
      </c>
      <c r="F6" s="44">
        <f t="shared" si="1"/>
        <v>15.384615384615385</v>
      </c>
      <c r="G6" s="6">
        <v>0</v>
      </c>
      <c r="H6" s="44">
        <f t="shared" ref="H6:H13" si="5">(G6/B6)*100</f>
        <v>0</v>
      </c>
      <c r="I6" s="6">
        <v>0</v>
      </c>
      <c r="J6" s="44">
        <f t="shared" ref="J6:J15" si="6">(I6/B6)*100</f>
        <v>0</v>
      </c>
      <c r="K6" s="43">
        <v>11</v>
      </c>
      <c r="L6" s="44">
        <f t="shared" si="2"/>
        <v>84.615384615384613</v>
      </c>
      <c r="M6" s="43">
        <v>0</v>
      </c>
      <c r="N6" s="44">
        <f t="shared" si="3"/>
        <v>0</v>
      </c>
      <c r="O6" s="43">
        <v>0</v>
      </c>
      <c r="P6" s="44">
        <f t="shared" si="4"/>
        <v>0</v>
      </c>
      <c r="Q6" s="43">
        <v>0</v>
      </c>
      <c r="R6" s="44">
        <f>(Q6/B6)*100</f>
        <v>0</v>
      </c>
    </row>
    <row r="7" spans="1:18" x14ac:dyDescent="0.35">
      <c r="A7" t="s">
        <v>126</v>
      </c>
      <c r="B7" s="43">
        <v>44</v>
      </c>
      <c r="C7" s="43">
        <v>41</v>
      </c>
      <c r="D7" s="44">
        <f t="shared" si="0"/>
        <v>93.181818181818173</v>
      </c>
      <c r="E7" s="43">
        <v>23</v>
      </c>
      <c r="F7" s="44">
        <f t="shared" si="1"/>
        <v>52.272727272727273</v>
      </c>
      <c r="G7" s="6">
        <v>3</v>
      </c>
      <c r="H7" s="44">
        <f t="shared" si="5"/>
        <v>6.8181818181818175</v>
      </c>
      <c r="I7" s="6">
        <v>0</v>
      </c>
      <c r="J7" s="44">
        <f t="shared" si="6"/>
        <v>0</v>
      </c>
      <c r="K7" s="43">
        <v>18</v>
      </c>
      <c r="L7" s="44">
        <f t="shared" si="2"/>
        <v>40.909090909090914</v>
      </c>
      <c r="M7" s="43">
        <v>0</v>
      </c>
      <c r="N7" s="44">
        <f t="shared" si="3"/>
        <v>0</v>
      </c>
      <c r="O7" s="43">
        <v>0</v>
      </c>
      <c r="P7" s="44">
        <f t="shared" si="4"/>
        <v>0</v>
      </c>
      <c r="Q7" s="43">
        <v>2</v>
      </c>
      <c r="R7" s="44">
        <f>(Q7/B7)*100</f>
        <v>4.5454545454545459</v>
      </c>
    </row>
    <row r="8" spans="1:18" x14ac:dyDescent="0.35">
      <c r="A8" t="s">
        <v>127</v>
      </c>
      <c r="B8" s="43">
        <v>223</v>
      </c>
      <c r="C8" s="43">
        <v>222</v>
      </c>
      <c r="D8" s="44">
        <f t="shared" si="0"/>
        <v>99.551569506726452</v>
      </c>
      <c r="E8" s="43">
        <v>219</v>
      </c>
      <c r="F8" s="44">
        <f t="shared" si="1"/>
        <v>98.206278026905821</v>
      </c>
      <c r="G8" s="6" t="s">
        <v>128</v>
      </c>
      <c r="H8" s="44" t="s">
        <v>128</v>
      </c>
      <c r="I8" s="6" t="s">
        <v>128</v>
      </c>
      <c r="J8" s="44" t="s">
        <v>128</v>
      </c>
      <c r="K8" s="43">
        <v>3</v>
      </c>
      <c r="L8" s="44">
        <f t="shared" si="2"/>
        <v>1.3452914798206279</v>
      </c>
      <c r="M8" s="43">
        <v>0</v>
      </c>
      <c r="N8" s="44">
        <f t="shared" si="3"/>
        <v>0</v>
      </c>
      <c r="O8" s="43">
        <v>1</v>
      </c>
      <c r="P8" s="44">
        <f t="shared" si="4"/>
        <v>0.44843049327354262</v>
      </c>
      <c r="Q8" s="6" t="s">
        <v>128</v>
      </c>
      <c r="R8" s="44" t="s">
        <v>128</v>
      </c>
    </row>
    <row r="9" spans="1:18" x14ac:dyDescent="0.35">
      <c r="A9" t="s">
        <v>157</v>
      </c>
      <c r="B9" s="43">
        <v>268</v>
      </c>
      <c r="C9" s="43">
        <v>267</v>
      </c>
      <c r="D9" s="44">
        <f t="shared" si="0"/>
        <v>99.626865671641795</v>
      </c>
      <c r="E9" s="43">
        <v>255</v>
      </c>
      <c r="F9" s="44">
        <f t="shared" si="1"/>
        <v>95.149253731343293</v>
      </c>
      <c r="G9" s="6" t="s">
        <v>128</v>
      </c>
      <c r="H9" s="44" t="s">
        <v>128</v>
      </c>
      <c r="I9" s="6" t="s">
        <v>128</v>
      </c>
      <c r="J9" s="44" t="s">
        <v>128</v>
      </c>
      <c r="K9" s="43">
        <v>12</v>
      </c>
      <c r="L9" s="44">
        <f t="shared" si="2"/>
        <v>4.4776119402985071</v>
      </c>
      <c r="M9" s="43">
        <v>0</v>
      </c>
      <c r="N9" s="44">
        <f t="shared" si="3"/>
        <v>0</v>
      </c>
      <c r="O9" s="43">
        <v>1</v>
      </c>
      <c r="P9" s="44">
        <f t="shared" si="4"/>
        <v>0.37313432835820892</v>
      </c>
      <c r="Q9" s="6" t="s">
        <v>128</v>
      </c>
      <c r="R9" s="44" t="s">
        <v>128</v>
      </c>
    </row>
    <row r="10" spans="1:18" x14ac:dyDescent="0.35">
      <c r="A10" t="s">
        <v>137</v>
      </c>
      <c r="B10" s="43">
        <v>105</v>
      </c>
      <c r="C10" s="43">
        <v>98</v>
      </c>
      <c r="D10" s="44">
        <f t="shared" si="0"/>
        <v>93.333333333333329</v>
      </c>
      <c r="E10" s="43">
        <v>92</v>
      </c>
      <c r="F10" s="44">
        <f t="shared" si="1"/>
        <v>87.61904761904762</v>
      </c>
      <c r="G10" s="6" t="s">
        <v>128</v>
      </c>
      <c r="H10" s="44" t="s">
        <v>128</v>
      </c>
      <c r="I10" s="6" t="s">
        <v>128</v>
      </c>
      <c r="J10" s="44" t="s">
        <v>128</v>
      </c>
      <c r="K10" s="43">
        <v>6</v>
      </c>
      <c r="L10" s="44">
        <f t="shared" si="2"/>
        <v>5.7142857142857144</v>
      </c>
      <c r="M10" s="43">
        <v>0</v>
      </c>
      <c r="N10" s="44">
        <f t="shared" si="3"/>
        <v>0</v>
      </c>
      <c r="O10" s="43">
        <v>0</v>
      </c>
      <c r="P10" s="44">
        <f t="shared" si="4"/>
        <v>0</v>
      </c>
      <c r="Q10" s="6" t="s">
        <v>128</v>
      </c>
      <c r="R10" s="44" t="s">
        <v>128</v>
      </c>
    </row>
    <row r="11" spans="1:18" x14ac:dyDescent="0.35">
      <c r="A11" t="s">
        <v>139</v>
      </c>
      <c r="B11" s="43">
        <v>173</v>
      </c>
      <c r="C11" s="43">
        <v>172</v>
      </c>
      <c r="D11" s="44">
        <f t="shared" si="0"/>
        <v>99.421965317919074</v>
      </c>
      <c r="E11" s="43">
        <v>154</v>
      </c>
      <c r="F11" s="44">
        <f t="shared" si="1"/>
        <v>89.017341040462426</v>
      </c>
      <c r="G11" s="6">
        <v>20</v>
      </c>
      <c r="H11" s="44">
        <f t="shared" si="5"/>
        <v>11.560693641618498</v>
      </c>
      <c r="I11" s="6">
        <v>0</v>
      </c>
      <c r="J11" s="44">
        <f t="shared" si="6"/>
        <v>0</v>
      </c>
      <c r="K11" s="43">
        <v>10</v>
      </c>
      <c r="L11" s="44">
        <f t="shared" si="2"/>
        <v>5.7803468208092488</v>
      </c>
      <c r="M11" s="43">
        <v>8</v>
      </c>
      <c r="N11" s="44">
        <f t="shared" si="3"/>
        <v>4.6242774566473983</v>
      </c>
      <c r="O11" s="43">
        <v>1</v>
      </c>
      <c r="P11" s="44">
        <f t="shared" si="4"/>
        <v>0.57803468208092479</v>
      </c>
      <c r="Q11" s="43">
        <v>0</v>
      </c>
      <c r="R11" s="44">
        <f>(Q11/B11)*100</f>
        <v>0</v>
      </c>
    </row>
    <row r="12" spans="1:18" x14ac:dyDescent="0.35">
      <c r="A12" t="s">
        <v>140</v>
      </c>
      <c r="B12" s="43">
        <v>68</v>
      </c>
      <c r="C12" s="43">
        <v>68</v>
      </c>
      <c r="D12" s="44">
        <f t="shared" si="0"/>
        <v>100</v>
      </c>
      <c r="E12" s="43">
        <v>60</v>
      </c>
      <c r="F12" s="44">
        <f t="shared" si="1"/>
        <v>88.235294117647058</v>
      </c>
      <c r="G12" s="6">
        <v>11</v>
      </c>
      <c r="H12" s="44">
        <f t="shared" si="5"/>
        <v>16.176470588235293</v>
      </c>
      <c r="I12" s="6">
        <v>2</v>
      </c>
      <c r="J12" s="44">
        <f t="shared" si="6"/>
        <v>2.9411764705882351</v>
      </c>
      <c r="K12" s="43">
        <v>4</v>
      </c>
      <c r="L12" s="44">
        <f t="shared" si="2"/>
        <v>5.8823529411764701</v>
      </c>
      <c r="M12" s="43">
        <v>4</v>
      </c>
      <c r="N12" s="44">
        <f t="shared" si="3"/>
        <v>5.8823529411764701</v>
      </c>
      <c r="O12" s="43">
        <v>0</v>
      </c>
      <c r="P12" s="44">
        <f t="shared" si="4"/>
        <v>0</v>
      </c>
      <c r="Q12" s="43">
        <v>0</v>
      </c>
      <c r="R12" s="44">
        <f>(Q12/B12)*100</f>
        <v>0</v>
      </c>
    </row>
    <row r="13" spans="1:18" ht="15" thickBot="1" x14ac:dyDescent="0.4">
      <c r="A13" t="s">
        <v>143</v>
      </c>
      <c r="B13" s="43">
        <v>173</v>
      </c>
      <c r="C13" s="43">
        <v>173</v>
      </c>
      <c r="D13" s="44">
        <f t="shared" si="0"/>
        <v>100</v>
      </c>
      <c r="E13" s="43">
        <v>136</v>
      </c>
      <c r="F13" s="44">
        <f t="shared" si="1"/>
        <v>78.612716763005778</v>
      </c>
      <c r="G13" s="6">
        <v>76</v>
      </c>
      <c r="H13" s="44">
        <f t="shared" si="5"/>
        <v>43.930635838150287</v>
      </c>
      <c r="I13" s="6">
        <v>1</v>
      </c>
      <c r="J13" s="44">
        <f t="shared" si="6"/>
        <v>0.57803468208092479</v>
      </c>
      <c r="K13" s="43">
        <v>25</v>
      </c>
      <c r="L13" s="44">
        <f t="shared" si="2"/>
        <v>14.450867052023122</v>
      </c>
      <c r="M13" s="43">
        <v>12</v>
      </c>
      <c r="N13" s="44">
        <f t="shared" si="3"/>
        <v>6.9364161849710975</v>
      </c>
      <c r="O13" s="43">
        <v>0</v>
      </c>
      <c r="P13" s="44">
        <f t="shared" si="4"/>
        <v>0</v>
      </c>
      <c r="Q13" s="43">
        <v>0</v>
      </c>
      <c r="R13" s="44">
        <f>(Q13/B13)*100</f>
        <v>0</v>
      </c>
    </row>
    <row r="14" spans="1:18" s="8" customFormat="1" ht="15" thickBot="1" x14ac:dyDescent="0.4">
      <c r="A14" s="80" t="s">
        <v>172</v>
      </c>
      <c r="B14" s="90">
        <f>SUM(B3:B13)</f>
        <v>1427</v>
      </c>
      <c r="C14" s="90">
        <f>SUM(C3:C13)</f>
        <v>1409</v>
      </c>
      <c r="D14" s="81">
        <f t="shared" si="0"/>
        <v>98.738612473721091</v>
      </c>
      <c r="E14" s="90">
        <f>SUM(E3:E13)</f>
        <v>1260</v>
      </c>
      <c r="F14" s="81">
        <f t="shared" si="1"/>
        <v>88.297126839523472</v>
      </c>
      <c r="G14" s="82">
        <f>SUM(G3:G13)</f>
        <v>115</v>
      </c>
      <c r="H14" s="81">
        <f>(G14/B14)*100</f>
        <v>8.0588647512263503</v>
      </c>
      <c r="I14" s="82">
        <f>SUM(I3:I13)</f>
        <v>3</v>
      </c>
      <c r="J14" s="81">
        <f>(I14/B14)*100</f>
        <v>0.21023125437981782</v>
      </c>
      <c r="K14" s="90">
        <f>SUM(K3:K13)</f>
        <v>124</v>
      </c>
      <c r="L14" s="81">
        <f t="shared" si="2"/>
        <v>8.6895585143658032</v>
      </c>
      <c r="M14" s="90">
        <f>SUM(M3:M13)</f>
        <v>25</v>
      </c>
      <c r="N14" s="81">
        <f t="shared" si="3"/>
        <v>1.7519271198318149</v>
      </c>
      <c r="O14" s="90">
        <f>SUM(O3:O13)</f>
        <v>3</v>
      </c>
      <c r="P14" s="81">
        <f t="shared" si="4"/>
        <v>0.21023125437981782</v>
      </c>
      <c r="Q14" s="90">
        <f>SUM(Q3:Q13)</f>
        <v>3</v>
      </c>
      <c r="R14" s="81">
        <f>(Q14/B14)*100</f>
        <v>0.21023125437981782</v>
      </c>
    </row>
    <row r="15" spans="1:18" ht="15" thickBot="1" x14ac:dyDescent="0.4">
      <c r="A15" s="69" t="s">
        <v>150</v>
      </c>
      <c r="B15" s="70">
        <v>100</v>
      </c>
      <c r="C15" s="70">
        <v>97</v>
      </c>
      <c r="D15" s="53">
        <f t="shared" si="0"/>
        <v>97</v>
      </c>
      <c r="E15" s="70">
        <v>49</v>
      </c>
      <c r="F15" s="53">
        <f t="shared" si="1"/>
        <v>49</v>
      </c>
      <c r="G15" s="54">
        <v>6</v>
      </c>
      <c r="H15" s="53">
        <f>(G15/B15)*100</f>
        <v>6</v>
      </c>
      <c r="I15" s="54">
        <v>0</v>
      </c>
      <c r="J15" s="53">
        <f t="shared" si="6"/>
        <v>0</v>
      </c>
      <c r="K15" s="70">
        <v>42</v>
      </c>
      <c r="L15" s="53">
        <f t="shared" si="2"/>
        <v>42</v>
      </c>
      <c r="M15" s="70">
        <v>6</v>
      </c>
      <c r="N15" s="53">
        <f t="shared" si="3"/>
        <v>6</v>
      </c>
      <c r="O15" s="70">
        <v>0</v>
      </c>
      <c r="P15" s="53">
        <f t="shared" si="4"/>
        <v>0</v>
      </c>
      <c r="Q15" s="70">
        <v>1</v>
      </c>
      <c r="R15" s="44">
        <f>(Q15/B15)*100</f>
        <v>1</v>
      </c>
    </row>
    <row r="16" spans="1:18" s="8" customFormat="1" ht="15" thickBot="1" x14ac:dyDescent="0.4">
      <c r="A16" s="80" t="s">
        <v>600</v>
      </c>
      <c r="B16" s="90">
        <v>100</v>
      </c>
      <c r="C16" s="90">
        <v>97</v>
      </c>
      <c r="D16" s="81">
        <f t="shared" ref="D16" si="7">(C16/B16)*100</f>
        <v>97</v>
      </c>
      <c r="E16" s="90">
        <v>49</v>
      </c>
      <c r="F16" s="81">
        <f t="shared" ref="F16" si="8">(E16/B16)*100</f>
        <v>49</v>
      </c>
      <c r="G16" s="82">
        <v>6</v>
      </c>
      <c r="H16" s="81">
        <f t="shared" ref="H16" si="9">(G16/B16)*100</f>
        <v>6</v>
      </c>
      <c r="I16" s="82">
        <v>0</v>
      </c>
      <c r="J16" s="81">
        <f>(I16/B16)*100</f>
        <v>0</v>
      </c>
      <c r="K16" s="90">
        <v>42</v>
      </c>
      <c r="L16" s="81">
        <f t="shared" ref="L16" si="10">(K16/B16)*100</f>
        <v>42</v>
      </c>
      <c r="M16" s="90">
        <v>6</v>
      </c>
      <c r="N16" s="81">
        <f t="shared" ref="N16" si="11">(M16/B16)*100</f>
        <v>6</v>
      </c>
      <c r="O16" s="90">
        <v>0</v>
      </c>
      <c r="P16" s="81">
        <f t="shared" ref="P16" si="12">(O16/B16)*100</f>
        <v>0</v>
      </c>
      <c r="Q16" s="90">
        <v>0</v>
      </c>
      <c r="R16" s="81">
        <f t="shared" ref="R16" si="13">(Q16/D16)*100</f>
        <v>0</v>
      </c>
    </row>
    <row r="17" spans="1:18" ht="15" thickBot="1" x14ac:dyDescent="0.4">
      <c r="A17" s="80" t="s">
        <v>378</v>
      </c>
      <c r="B17" s="90">
        <f>SUM(B14:B15)</f>
        <v>1527</v>
      </c>
      <c r="C17" s="90">
        <f>SUM(C14:C15)</f>
        <v>1506</v>
      </c>
      <c r="D17" s="81">
        <f>(C17/B17)*100</f>
        <v>98.624754420432211</v>
      </c>
      <c r="E17" s="90">
        <f>SUM(E14:E15)</f>
        <v>1309</v>
      </c>
      <c r="F17" s="81">
        <f t="shared" si="1"/>
        <v>85.723641126391612</v>
      </c>
      <c r="G17" s="90">
        <f>SUM(G14:G15)</f>
        <v>121</v>
      </c>
      <c r="H17" s="81">
        <f>(G17/B17)*100</f>
        <v>7.9240340537000655</v>
      </c>
      <c r="I17" s="90">
        <f>SUM(I14:I15)</f>
        <v>3</v>
      </c>
      <c r="J17" s="81">
        <f>(I17/B17)*100</f>
        <v>0.19646365422396855</v>
      </c>
      <c r="K17" s="90">
        <f>SUM(K14:K15)</f>
        <v>166</v>
      </c>
      <c r="L17" s="81">
        <f t="shared" si="2"/>
        <v>10.870988867059594</v>
      </c>
      <c r="M17" s="90">
        <f>SUM(M14:M15)</f>
        <v>31</v>
      </c>
      <c r="N17" s="81">
        <f t="shared" si="3"/>
        <v>2.0301244269810081</v>
      </c>
      <c r="O17" s="90">
        <f>SUM(O14:O15)</f>
        <v>3</v>
      </c>
      <c r="P17" s="81">
        <f t="shared" si="4"/>
        <v>0.19646365422396855</v>
      </c>
      <c r="Q17" s="90">
        <f>SUM(Q14:Q15)</f>
        <v>4</v>
      </c>
      <c r="R17" s="81">
        <f>(Q17/B17)*100</f>
        <v>0.26195153896529144</v>
      </c>
    </row>
    <row r="18" spans="1:18" x14ac:dyDescent="0.35">
      <c r="B18" s="1"/>
      <c r="C18" s="1"/>
      <c r="E18" s="1"/>
      <c r="K18" s="1"/>
      <c r="M18" s="1"/>
      <c r="O18" s="1"/>
    </row>
    <row r="19" spans="1:18" x14ac:dyDescent="0.35">
      <c r="A19" t="s">
        <v>970</v>
      </c>
      <c r="B19" s="1"/>
      <c r="C19" s="1"/>
      <c r="E19" s="1"/>
      <c r="K19" s="1"/>
      <c r="M19" s="1"/>
      <c r="O19" s="1"/>
    </row>
    <row r="20" spans="1:18" x14ac:dyDescent="0.35">
      <c r="B20" s="1"/>
      <c r="C20" s="1"/>
      <c r="E20" s="1"/>
      <c r="K20" s="1"/>
      <c r="M20" s="1"/>
      <c r="O20" s="1"/>
    </row>
    <row r="21" spans="1:18" x14ac:dyDescent="0.35">
      <c r="B21" s="1"/>
      <c r="C21" s="1"/>
      <c r="E21" s="1"/>
      <c r="K21" s="1"/>
      <c r="M21" s="1"/>
      <c r="O21" s="1"/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3">
    <tabColor theme="9" tint="0.59999389629810485"/>
  </sheetPr>
  <dimension ref="A1:R37"/>
  <sheetViews>
    <sheetView zoomScale="80" zoomScaleNormal="80" workbookViewId="0">
      <pane ySplit="2" topLeftCell="A3" activePane="bottomLeft" state="frozen"/>
      <selection pane="bottomLeft" activeCell="B3" sqref="B3"/>
    </sheetView>
  </sheetViews>
  <sheetFormatPr defaultColWidth="10.6328125" defaultRowHeight="14.5" x14ac:dyDescent="0.35"/>
  <cols>
    <col min="1" max="1" width="32.54296875" customWidth="1"/>
    <col min="3" max="18" width="12.81640625" customWidth="1"/>
  </cols>
  <sheetData>
    <row r="1" spans="1:18" ht="17" thickBot="1" x14ac:dyDescent="0.4">
      <c r="A1" s="266" t="s">
        <v>108</v>
      </c>
      <c r="B1" s="263" t="s">
        <v>1049</v>
      </c>
      <c r="C1" s="231" t="s">
        <v>109</v>
      </c>
      <c r="D1" s="231"/>
      <c r="E1" s="228" t="s">
        <v>110</v>
      </c>
      <c r="F1" s="228"/>
      <c r="G1" s="228" t="s">
        <v>111</v>
      </c>
      <c r="H1" s="228"/>
      <c r="I1" s="228" t="s">
        <v>112</v>
      </c>
      <c r="J1" s="228"/>
      <c r="K1" s="228" t="s">
        <v>113</v>
      </c>
      <c r="L1" s="228"/>
      <c r="M1" s="228" t="s">
        <v>114</v>
      </c>
      <c r="N1" s="228"/>
      <c r="O1" s="228" t="s">
        <v>115</v>
      </c>
      <c r="P1" s="228"/>
      <c r="Q1" s="264" t="s">
        <v>1020</v>
      </c>
      <c r="R1" s="264"/>
    </row>
    <row r="2" spans="1:18" ht="15" thickBot="1" x14ac:dyDescent="0.4">
      <c r="A2" s="228"/>
      <c r="B2" s="230"/>
      <c r="C2" s="130" t="s">
        <v>83</v>
      </c>
      <c r="D2" s="130" t="s">
        <v>94</v>
      </c>
      <c r="E2" s="130" t="s">
        <v>83</v>
      </c>
      <c r="F2" s="130" t="s">
        <v>94</v>
      </c>
      <c r="G2" s="130" t="s">
        <v>83</v>
      </c>
      <c r="H2" s="130" t="s">
        <v>94</v>
      </c>
      <c r="I2" s="130" t="s">
        <v>83</v>
      </c>
      <c r="J2" s="130" t="s">
        <v>94</v>
      </c>
      <c r="K2" s="130" t="s">
        <v>83</v>
      </c>
      <c r="L2" s="130" t="s">
        <v>94</v>
      </c>
      <c r="M2" s="130" t="s">
        <v>83</v>
      </c>
      <c r="N2" s="130" t="s">
        <v>94</v>
      </c>
      <c r="O2" s="130" t="s">
        <v>83</v>
      </c>
      <c r="P2" s="130" t="s">
        <v>94</v>
      </c>
      <c r="Q2" s="130" t="s">
        <v>83</v>
      </c>
      <c r="R2" s="130" t="s">
        <v>94</v>
      </c>
    </row>
    <row r="3" spans="1:18" x14ac:dyDescent="0.35">
      <c r="A3" s="24" t="s">
        <v>177</v>
      </c>
      <c r="B3" s="32">
        <v>64</v>
      </c>
      <c r="C3" s="32">
        <v>64</v>
      </c>
      <c r="D3" s="30">
        <f>(C3/B3)*100</f>
        <v>100</v>
      </c>
      <c r="E3" s="32">
        <v>49</v>
      </c>
      <c r="F3" s="30">
        <f>(E3/B3)*100</f>
        <v>76.5625</v>
      </c>
      <c r="G3" s="31" t="s">
        <v>128</v>
      </c>
      <c r="H3" s="30" t="s">
        <v>128</v>
      </c>
      <c r="I3" s="31" t="s">
        <v>128</v>
      </c>
      <c r="J3" s="30" t="s">
        <v>128</v>
      </c>
      <c r="K3" s="32">
        <v>15</v>
      </c>
      <c r="L3" s="30">
        <f>(K3/B3)*100</f>
        <v>23.4375</v>
      </c>
      <c r="M3" s="32">
        <v>0</v>
      </c>
      <c r="N3" s="30">
        <f>(M3/B3)*100</f>
        <v>0</v>
      </c>
      <c r="O3" s="32">
        <v>0</v>
      </c>
      <c r="P3" s="31">
        <f>(O3/B3)*100</f>
        <v>0</v>
      </c>
      <c r="Q3" s="31" t="s">
        <v>128</v>
      </c>
      <c r="R3" s="30" t="s">
        <v>128</v>
      </c>
    </row>
    <row r="4" spans="1:18" x14ac:dyDescent="0.35">
      <c r="A4" s="25" t="s">
        <v>183</v>
      </c>
      <c r="B4" s="207">
        <v>103</v>
      </c>
      <c r="C4" s="207">
        <v>101</v>
      </c>
      <c r="D4" s="30">
        <f t="shared" ref="D4:D33" si="0">(C4/B4)*100</f>
        <v>98.05825242718447</v>
      </c>
      <c r="E4" s="207">
        <v>99</v>
      </c>
      <c r="F4" s="30">
        <f t="shared" ref="F4:F35" si="1">(E4/B4)*100</f>
        <v>96.116504854368941</v>
      </c>
      <c r="G4" s="31" t="s">
        <v>128</v>
      </c>
      <c r="H4" s="30" t="s">
        <v>128</v>
      </c>
      <c r="I4" s="31" t="s">
        <v>128</v>
      </c>
      <c r="J4" s="30" t="s">
        <v>128</v>
      </c>
      <c r="K4" s="207">
        <v>2</v>
      </c>
      <c r="L4" s="30">
        <f t="shared" ref="L4:L35" si="2">(K4/B4)*100</f>
        <v>1.9417475728155338</v>
      </c>
      <c r="M4" s="207">
        <v>0</v>
      </c>
      <c r="N4" s="30">
        <f t="shared" ref="N4:N34" si="3">(M4/B4)*100</f>
        <v>0</v>
      </c>
      <c r="O4" s="207">
        <v>0</v>
      </c>
      <c r="P4" s="31">
        <f t="shared" ref="P4:P35" si="4">(O4/B4)*100</f>
        <v>0</v>
      </c>
      <c r="Q4" s="30" t="s">
        <v>128</v>
      </c>
      <c r="R4" s="30" t="s">
        <v>128</v>
      </c>
    </row>
    <row r="5" spans="1:18" x14ac:dyDescent="0.35">
      <c r="A5" s="25" t="s">
        <v>118</v>
      </c>
      <c r="B5" s="207">
        <v>70</v>
      </c>
      <c r="C5" s="207">
        <v>70</v>
      </c>
      <c r="D5" s="30">
        <f t="shared" si="0"/>
        <v>100</v>
      </c>
      <c r="E5" s="207">
        <v>55</v>
      </c>
      <c r="F5" s="30">
        <f t="shared" si="1"/>
        <v>78.571428571428569</v>
      </c>
      <c r="G5" s="31">
        <v>5</v>
      </c>
      <c r="H5" s="30">
        <f t="shared" ref="H5:H28" si="5">(G5/B5)*100</f>
        <v>7.1428571428571423</v>
      </c>
      <c r="I5" s="31">
        <v>0</v>
      </c>
      <c r="J5" s="30">
        <f t="shared" ref="J5:J28" si="6">(I5/B5)*100</f>
        <v>0</v>
      </c>
      <c r="K5" s="207">
        <v>14</v>
      </c>
      <c r="L5" s="30">
        <f t="shared" si="2"/>
        <v>20</v>
      </c>
      <c r="M5" s="207">
        <v>1</v>
      </c>
      <c r="N5" s="30">
        <f t="shared" si="3"/>
        <v>1.4285714285714286</v>
      </c>
      <c r="O5" s="207">
        <v>0</v>
      </c>
      <c r="P5" s="31">
        <f t="shared" si="4"/>
        <v>0</v>
      </c>
      <c r="Q5" s="31">
        <v>0</v>
      </c>
      <c r="R5" s="30">
        <f>(Q5/B5)*100</f>
        <v>0</v>
      </c>
    </row>
    <row r="6" spans="1:18" x14ac:dyDescent="0.35">
      <c r="A6" s="25" t="s">
        <v>120</v>
      </c>
      <c r="B6" s="207">
        <v>22</v>
      </c>
      <c r="C6" s="207">
        <v>22</v>
      </c>
      <c r="D6" s="30">
        <f t="shared" si="0"/>
        <v>100</v>
      </c>
      <c r="E6" s="207">
        <v>16</v>
      </c>
      <c r="F6" s="30">
        <f t="shared" si="1"/>
        <v>72.727272727272734</v>
      </c>
      <c r="G6" s="31">
        <v>7</v>
      </c>
      <c r="H6" s="30">
        <f t="shared" si="5"/>
        <v>31.818181818181817</v>
      </c>
      <c r="I6" s="31">
        <v>0</v>
      </c>
      <c r="J6" s="30">
        <f t="shared" si="6"/>
        <v>0</v>
      </c>
      <c r="K6" s="207">
        <v>6</v>
      </c>
      <c r="L6" s="30">
        <f t="shared" si="2"/>
        <v>27.27272727272727</v>
      </c>
      <c r="M6" s="207">
        <v>0</v>
      </c>
      <c r="N6" s="30">
        <f t="shared" si="3"/>
        <v>0</v>
      </c>
      <c r="O6" s="207">
        <v>0</v>
      </c>
      <c r="P6" s="31">
        <f t="shared" si="4"/>
        <v>0</v>
      </c>
      <c r="Q6" s="31">
        <v>0</v>
      </c>
      <c r="R6" s="30">
        <f>(Q6/B6)*100</f>
        <v>0</v>
      </c>
    </row>
    <row r="7" spans="1:18" x14ac:dyDescent="0.35">
      <c r="A7" s="25" t="s">
        <v>121</v>
      </c>
      <c r="B7" s="207">
        <v>37</v>
      </c>
      <c r="C7" s="207">
        <v>37</v>
      </c>
      <c r="D7" s="30">
        <f t="shared" si="0"/>
        <v>100</v>
      </c>
      <c r="E7" s="207">
        <v>35</v>
      </c>
      <c r="F7" s="30">
        <f t="shared" si="1"/>
        <v>94.594594594594597</v>
      </c>
      <c r="G7" s="31">
        <v>9</v>
      </c>
      <c r="H7" s="30">
        <f t="shared" si="5"/>
        <v>24.324324324324326</v>
      </c>
      <c r="I7" s="31">
        <v>0</v>
      </c>
      <c r="J7" s="30">
        <f t="shared" si="6"/>
        <v>0</v>
      </c>
      <c r="K7" s="207">
        <v>1</v>
      </c>
      <c r="L7" s="30">
        <f t="shared" si="2"/>
        <v>2.7027027027027026</v>
      </c>
      <c r="M7" s="207">
        <v>1</v>
      </c>
      <c r="N7" s="30">
        <f t="shared" si="3"/>
        <v>2.7027027027027026</v>
      </c>
      <c r="O7" s="207">
        <v>0</v>
      </c>
      <c r="P7" s="31">
        <f t="shared" si="4"/>
        <v>0</v>
      </c>
      <c r="Q7" s="31">
        <v>0</v>
      </c>
      <c r="R7" s="30">
        <f>(Q7/B7)*100</f>
        <v>0</v>
      </c>
    </row>
    <row r="8" spans="1:18" x14ac:dyDescent="0.35">
      <c r="A8" s="25" t="s">
        <v>204</v>
      </c>
      <c r="B8" s="207">
        <v>84</v>
      </c>
      <c r="C8" s="207">
        <v>84</v>
      </c>
      <c r="D8" s="30">
        <f t="shared" si="0"/>
        <v>100</v>
      </c>
      <c r="E8" s="207">
        <v>60</v>
      </c>
      <c r="F8" s="30">
        <f t="shared" si="1"/>
        <v>71.428571428571431</v>
      </c>
      <c r="G8" s="31" t="s">
        <v>128</v>
      </c>
      <c r="H8" s="30" t="s">
        <v>128</v>
      </c>
      <c r="I8" s="31" t="s">
        <v>128</v>
      </c>
      <c r="J8" s="30" t="s">
        <v>128</v>
      </c>
      <c r="K8" s="207">
        <v>24</v>
      </c>
      <c r="L8" s="30">
        <f t="shared" si="2"/>
        <v>28.571428571428569</v>
      </c>
      <c r="M8" s="207">
        <v>0</v>
      </c>
      <c r="N8" s="30">
        <f t="shared" si="3"/>
        <v>0</v>
      </c>
      <c r="O8" s="207">
        <v>0</v>
      </c>
      <c r="P8" s="31">
        <f t="shared" si="4"/>
        <v>0</v>
      </c>
      <c r="R8" s="30" t="s">
        <v>128</v>
      </c>
    </row>
    <row r="9" spans="1:18" x14ac:dyDescent="0.35">
      <c r="A9" s="25" t="s">
        <v>123</v>
      </c>
      <c r="B9" s="207">
        <v>19</v>
      </c>
      <c r="C9" s="207">
        <v>19</v>
      </c>
      <c r="D9" s="30">
        <f t="shared" si="0"/>
        <v>100</v>
      </c>
      <c r="E9" s="207">
        <v>9</v>
      </c>
      <c r="F9" s="30">
        <f t="shared" si="1"/>
        <v>47.368421052631575</v>
      </c>
      <c r="G9" s="31">
        <v>4</v>
      </c>
      <c r="H9" s="30">
        <f t="shared" si="5"/>
        <v>21.052631578947366</v>
      </c>
      <c r="I9" s="31">
        <v>0</v>
      </c>
      <c r="J9" s="30">
        <f t="shared" si="6"/>
        <v>0</v>
      </c>
      <c r="K9" s="207">
        <v>5</v>
      </c>
      <c r="L9" s="30">
        <f t="shared" si="2"/>
        <v>26.315789473684209</v>
      </c>
      <c r="M9" s="207">
        <v>5</v>
      </c>
      <c r="N9" s="30">
        <f t="shared" si="3"/>
        <v>26.315789473684209</v>
      </c>
      <c r="O9" s="207">
        <v>0</v>
      </c>
      <c r="P9" s="31">
        <f t="shared" si="4"/>
        <v>0</v>
      </c>
      <c r="Q9" s="31">
        <v>0</v>
      </c>
      <c r="R9" s="30">
        <f>(Q9/B9)*100</f>
        <v>0</v>
      </c>
    </row>
    <row r="10" spans="1:18" x14ac:dyDescent="0.35">
      <c r="A10" s="25" t="s">
        <v>124</v>
      </c>
      <c r="B10" s="207">
        <v>80</v>
      </c>
      <c r="C10" s="207">
        <v>80</v>
      </c>
      <c r="D10" s="30">
        <f t="shared" si="0"/>
        <v>100</v>
      </c>
      <c r="E10" s="207">
        <v>60</v>
      </c>
      <c r="F10" s="30">
        <f t="shared" si="1"/>
        <v>75</v>
      </c>
      <c r="G10" s="31">
        <v>10</v>
      </c>
      <c r="H10" s="30">
        <f t="shared" si="5"/>
        <v>12.5</v>
      </c>
      <c r="I10" s="31">
        <v>1</v>
      </c>
      <c r="J10" s="30">
        <f t="shared" si="6"/>
        <v>1.25</v>
      </c>
      <c r="K10" s="207">
        <v>19</v>
      </c>
      <c r="L10" s="30">
        <f t="shared" si="2"/>
        <v>23.75</v>
      </c>
      <c r="M10" s="207">
        <v>1</v>
      </c>
      <c r="N10" s="30">
        <f t="shared" si="3"/>
        <v>1.25</v>
      </c>
      <c r="O10" s="207">
        <v>0</v>
      </c>
      <c r="P10" s="31">
        <f t="shared" si="4"/>
        <v>0</v>
      </c>
      <c r="Q10" s="31">
        <v>0</v>
      </c>
      <c r="R10" s="30">
        <f>(Q10/B10)*100</f>
        <v>0</v>
      </c>
    </row>
    <row r="11" spans="1:18" x14ac:dyDescent="0.35">
      <c r="A11" s="25" t="s">
        <v>217</v>
      </c>
      <c r="B11" s="207">
        <v>1</v>
      </c>
      <c r="C11" s="207">
        <v>1</v>
      </c>
      <c r="D11" s="30">
        <f t="shared" si="0"/>
        <v>100</v>
      </c>
      <c r="E11" s="207">
        <v>1</v>
      </c>
      <c r="F11" s="30">
        <f t="shared" si="1"/>
        <v>100</v>
      </c>
      <c r="G11" s="31" t="s">
        <v>128</v>
      </c>
      <c r="H11" s="30" t="s">
        <v>128</v>
      </c>
      <c r="I11" s="31" t="s">
        <v>128</v>
      </c>
      <c r="J11" s="30" t="s">
        <v>128</v>
      </c>
      <c r="K11" s="207">
        <v>0</v>
      </c>
      <c r="L11" s="30">
        <f t="shared" si="2"/>
        <v>0</v>
      </c>
      <c r="M11" s="207">
        <v>0</v>
      </c>
      <c r="N11" s="30">
        <f t="shared" si="3"/>
        <v>0</v>
      </c>
      <c r="O11" s="207">
        <v>0</v>
      </c>
      <c r="P11" s="31">
        <f t="shared" si="4"/>
        <v>0</v>
      </c>
      <c r="R11" s="30" t="s">
        <v>128</v>
      </c>
    </row>
    <row r="12" spans="1:18" x14ac:dyDescent="0.35">
      <c r="A12" s="25" t="s">
        <v>126</v>
      </c>
      <c r="B12" s="207">
        <v>50</v>
      </c>
      <c r="C12" s="207">
        <v>45</v>
      </c>
      <c r="D12" s="30">
        <f t="shared" si="0"/>
        <v>90</v>
      </c>
      <c r="E12" s="207">
        <v>40</v>
      </c>
      <c r="F12" s="30">
        <f t="shared" si="1"/>
        <v>80</v>
      </c>
      <c r="G12" s="31">
        <v>5</v>
      </c>
      <c r="H12" s="30">
        <f t="shared" si="5"/>
        <v>10</v>
      </c>
      <c r="I12" s="31">
        <v>0</v>
      </c>
      <c r="J12" s="30">
        <f t="shared" si="6"/>
        <v>0</v>
      </c>
      <c r="K12" s="207">
        <v>5</v>
      </c>
      <c r="L12" s="30">
        <f t="shared" si="2"/>
        <v>10</v>
      </c>
      <c r="M12" s="207">
        <v>0</v>
      </c>
      <c r="N12" s="30">
        <f t="shared" si="3"/>
        <v>0</v>
      </c>
      <c r="O12" s="207">
        <v>0</v>
      </c>
      <c r="P12" s="31">
        <f t="shared" si="4"/>
        <v>0</v>
      </c>
      <c r="Q12" s="31">
        <v>5</v>
      </c>
      <c r="R12" s="30">
        <f>(Q12/B12)*100</f>
        <v>10</v>
      </c>
    </row>
    <row r="13" spans="1:18" x14ac:dyDescent="0.35">
      <c r="A13" s="25" t="s">
        <v>127</v>
      </c>
      <c r="B13" s="207">
        <v>140</v>
      </c>
      <c r="C13" s="207">
        <v>140</v>
      </c>
      <c r="D13" s="30">
        <f t="shared" si="0"/>
        <v>100</v>
      </c>
      <c r="E13" s="207">
        <v>134</v>
      </c>
      <c r="F13" s="30">
        <f t="shared" si="1"/>
        <v>95.714285714285722</v>
      </c>
      <c r="G13" s="31" t="s">
        <v>128</v>
      </c>
      <c r="H13" s="30" t="s">
        <v>128</v>
      </c>
      <c r="I13" s="31" t="s">
        <v>128</v>
      </c>
      <c r="J13" s="30" t="s">
        <v>128</v>
      </c>
      <c r="K13" s="207">
        <v>6</v>
      </c>
      <c r="L13" s="30">
        <f t="shared" si="2"/>
        <v>4.2857142857142856</v>
      </c>
      <c r="M13" s="207">
        <v>0</v>
      </c>
      <c r="N13" s="30">
        <f t="shared" si="3"/>
        <v>0</v>
      </c>
      <c r="O13" s="207">
        <v>0</v>
      </c>
      <c r="P13" s="31">
        <f t="shared" si="4"/>
        <v>0</v>
      </c>
      <c r="R13" s="30" t="s">
        <v>128</v>
      </c>
    </row>
    <row r="14" spans="1:18" x14ac:dyDescent="0.35">
      <c r="A14" s="25" t="s">
        <v>129</v>
      </c>
      <c r="B14" s="207">
        <v>49</v>
      </c>
      <c r="C14" s="207">
        <v>49</v>
      </c>
      <c r="D14" s="30">
        <f t="shared" si="0"/>
        <v>100</v>
      </c>
      <c r="E14" s="207">
        <v>45</v>
      </c>
      <c r="F14" s="30">
        <f t="shared" si="1"/>
        <v>91.83673469387756</v>
      </c>
      <c r="G14" s="31">
        <v>9</v>
      </c>
      <c r="H14" s="30">
        <f t="shared" si="5"/>
        <v>18.367346938775512</v>
      </c>
      <c r="I14" s="31">
        <v>0</v>
      </c>
      <c r="J14" s="30">
        <f t="shared" si="6"/>
        <v>0</v>
      </c>
      <c r="K14" s="207">
        <v>4</v>
      </c>
      <c r="L14" s="30">
        <f t="shared" si="2"/>
        <v>8.1632653061224492</v>
      </c>
      <c r="M14" s="207">
        <v>0</v>
      </c>
      <c r="N14" s="30">
        <f t="shared" si="3"/>
        <v>0</v>
      </c>
      <c r="O14" s="207">
        <v>0</v>
      </c>
      <c r="P14" s="31">
        <f t="shared" si="4"/>
        <v>0</v>
      </c>
      <c r="Q14" s="31">
        <v>0</v>
      </c>
      <c r="R14" s="30">
        <f>(Q14/B14)*100</f>
        <v>0</v>
      </c>
    </row>
    <row r="15" spans="1:18" x14ac:dyDescent="0.35">
      <c r="A15" s="25" t="s">
        <v>130</v>
      </c>
      <c r="B15" s="207">
        <v>203</v>
      </c>
      <c r="C15" s="207">
        <v>197</v>
      </c>
      <c r="D15" s="30">
        <f t="shared" si="0"/>
        <v>97.044334975369466</v>
      </c>
      <c r="E15" s="207">
        <v>159</v>
      </c>
      <c r="F15" s="30">
        <f t="shared" si="1"/>
        <v>78.325123152709367</v>
      </c>
      <c r="G15" s="31">
        <v>75</v>
      </c>
      <c r="H15" s="30">
        <f t="shared" si="5"/>
        <v>36.945812807881772</v>
      </c>
      <c r="I15" s="31">
        <v>13</v>
      </c>
      <c r="J15" s="30">
        <f t="shared" si="6"/>
        <v>6.403940886699508</v>
      </c>
      <c r="K15" s="207">
        <v>34</v>
      </c>
      <c r="L15" s="30">
        <f t="shared" si="2"/>
        <v>16.748768472906402</v>
      </c>
      <c r="M15" s="207">
        <v>4</v>
      </c>
      <c r="N15" s="30">
        <f t="shared" si="3"/>
        <v>1.9704433497536946</v>
      </c>
      <c r="O15" s="207">
        <v>0</v>
      </c>
      <c r="P15" s="31">
        <f t="shared" si="4"/>
        <v>0</v>
      </c>
      <c r="Q15" s="31">
        <v>2</v>
      </c>
      <c r="R15" s="30">
        <f>(Q15/B15)*100</f>
        <v>0.98522167487684731</v>
      </c>
    </row>
    <row r="16" spans="1:18" x14ac:dyDescent="0.35">
      <c r="A16" s="25" t="s">
        <v>131</v>
      </c>
      <c r="B16" s="207">
        <v>52</v>
      </c>
      <c r="C16" s="207">
        <v>51</v>
      </c>
      <c r="D16" s="30">
        <f t="shared" si="0"/>
        <v>98.076923076923066</v>
      </c>
      <c r="E16" s="207">
        <v>51</v>
      </c>
      <c r="F16" s="30">
        <f t="shared" si="1"/>
        <v>98.076923076923066</v>
      </c>
      <c r="G16" s="31">
        <v>3</v>
      </c>
      <c r="H16" s="30">
        <f t="shared" si="5"/>
        <v>5.7692307692307692</v>
      </c>
      <c r="I16" s="31">
        <v>1</v>
      </c>
      <c r="J16" s="30">
        <f t="shared" si="6"/>
        <v>1.9230769230769231</v>
      </c>
      <c r="K16" s="207">
        <v>0</v>
      </c>
      <c r="L16" s="30">
        <f t="shared" si="2"/>
        <v>0</v>
      </c>
      <c r="M16" s="207">
        <v>0</v>
      </c>
      <c r="N16" s="30">
        <f t="shared" si="3"/>
        <v>0</v>
      </c>
      <c r="O16" s="207">
        <v>0</v>
      </c>
      <c r="P16" s="31">
        <f t="shared" si="4"/>
        <v>0</v>
      </c>
      <c r="Q16" s="31">
        <v>0</v>
      </c>
      <c r="R16" s="30">
        <f>(Q16/B16)*100</f>
        <v>0</v>
      </c>
    </row>
    <row r="17" spans="1:18" x14ac:dyDescent="0.35">
      <c r="A17" s="25" t="s">
        <v>157</v>
      </c>
      <c r="B17" s="207">
        <v>93</v>
      </c>
      <c r="C17" s="207">
        <v>93</v>
      </c>
      <c r="D17" s="30">
        <f t="shared" si="0"/>
        <v>100</v>
      </c>
      <c r="E17" s="207">
        <v>59</v>
      </c>
      <c r="F17" s="30">
        <f t="shared" si="1"/>
        <v>63.44086021505376</v>
      </c>
      <c r="G17" s="31" t="s">
        <v>128</v>
      </c>
      <c r="H17" s="30" t="s">
        <v>128</v>
      </c>
      <c r="I17" s="31" t="s">
        <v>128</v>
      </c>
      <c r="J17" s="30" t="s">
        <v>128</v>
      </c>
      <c r="K17" s="207">
        <v>34</v>
      </c>
      <c r="L17" s="30">
        <f t="shared" si="2"/>
        <v>36.55913978494624</v>
      </c>
      <c r="M17" s="207">
        <v>0</v>
      </c>
      <c r="N17" s="30">
        <f t="shared" si="3"/>
        <v>0</v>
      </c>
      <c r="O17" s="207">
        <v>0</v>
      </c>
      <c r="P17" s="31">
        <f t="shared" si="4"/>
        <v>0</v>
      </c>
      <c r="R17" s="30" t="s">
        <v>128</v>
      </c>
    </row>
    <row r="18" spans="1:18" x14ac:dyDescent="0.35">
      <c r="A18" s="25" t="s">
        <v>133</v>
      </c>
      <c r="B18" s="207">
        <v>59</v>
      </c>
      <c r="C18" s="207">
        <v>59</v>
      </c>
      <c r="D18" s="30">
        <f t="shared" si="0"/>
        <v>100</v>
      </c>
      <c r="E18" s="207">
        <v>49</v>
      </c>
      <c r="F18" s="30">
        <f t="shared" si="1"/>
        <v>83.050847457627114</v>
      </c>
      <c r="G18" s="31">
        <v>16</v>
      </c>
      <c r="H18" s="30">
        <f t="shared" si="5"/>
        <v>27.118644067796609</v>
      </c>
      <c r="I18" s="31">
        <v>1</v>
      </c>
      <c r="J18" s="30">
        <f t="shared" si="6"/>
        <v>1.6949152542372881</v>
      </c>
      <c r="K18" s="207">
        <v>10</v>
      </c>
      <c r="L18" s="30">
        <f t="shared" si="2"/>
        <v>16.949152542372879</v>
      </c>
      <c r="M18" s="207">
        <v>0</v>
      </c>
      <c r="N18" s="30">
        <f t="shared" si="3"/>
        <v>0</v>
      </c>
      <c r="O18" s="207">
        <v>0</v>
      </c>
      <c r="P18" s="31">
        <f t="shared" si="4"/>
        <v>0</v>
      </c>
      <c r="Q18" s="31">
        <v>0</v>
      </c>
      <c r="R18" s="30">
        <f>(Q18/B18)*100</f>
        <v>0</v>
      </c>
    </row>
    <row r="19" spans="1:18" x14ac:dyDescent="0.35">
      <c r="A19" s="25" t="s">
        <v>134</v>
      </c>
      <c r="B19" s="207">
        <v>102</v>
      </c>
      <c r="C19" s="207">
        <v>102</v>
      </c>
      <c r="D19" s="30">
        <f t="shared" si="0"/>
        <v>100</v>
      </c>
      <c r="E19" s="207">
        <v>90</v>
      </c>
      <c r="F19" s="30">
        <f t="shared" si="1"/>
        <v>88.235294117647058</v>
      </c>
      <c r="G19" s="31">
        <v>26</v>
      </c>
      <c r="H19" s="30">
        <f t="shared" si="5"/>
        <v>25.490196078431371</v>
      </c>
      <c r="I19" s="31">
        <v>0</v>
      </c>
      <c r="J19" s="30">
        <f t="shared" si="6"/>
        <v>0</v>
      </c>
      <c r="K19" s="207">
        <v>7</v>
      </c>
      <c r="L19" s="30">
        <f t="shared" si="2"/>
        <v>6.8627450980392162</v>
      </c>
      <c r="M19" s="207">
        <v>5</v>
      </c>
      <c r="N19" s="30">
        <f t="shared" si="3"/>
        <v>4.9019607843137258</v>
      </c>
      <c r="O19" s="207">
        <v>0</v>
      </c>
      <c r="P19" s="31">
        <f t="shared" si="4"/>
        <v>0</v>
      </c>
      <c r="Q19" s="31">
        <v>0</v>
      </c>
      <c r="R19" s="30">
        <f>(Q19/B19)*100</f>
        <v>0</v>
      </c>
    </row>
    <row r="20" spans="1:18" x14ac:dyDescent="0.35">
      <c r="A20" s="25" t="s">
        <v>135</v>
      </c>
      <c r="B20" s="207">
        <v>30</v>
      </c>
      <c r="C20" s="207">
        <v>29</v>
      </c>
      <c r="D20" s="30">
        <f t="shared" si="0"/>
        <v>96.666666666666671</v>
      </c>
      <c r="E20" s="207">
        <v>28</v>
      </c>
      <c r="F20" s="30">
        <f t="shared" si="1"/>
        <v>93.333333333333329</v>
      </c>
      <c r="G20" s="31">
        <v>0</v>
      </c>
      <c r="H20" s="30">
        <f t="shared" si="5"/>
        <v>0</v>
      </c>
      <c r="I20" s="31">
        <v>3</v>
      </c>
      <c r="J20" s="30">
        <f t="shared" si="6"/>
        <v>10</v>
      </c>
      <c r="K20" s="207">
        <v>1</v>
      </c>
      <c r="L20" s="30">
        <f t="shared" si="2"/>
        <v>3.3333333333333335</v>
      </c>
      <c r="M20" s="207">
        <v>0</v>
      </c>
      <c r="N20" s="30">
        <f t="shared" si="3"/>
        <v>0</v>
      </c>
      <c r="O20" s="207">
        <v>0</v>
      </c>
      <c r="P20" s="31">
        <f t="shared" si="4"/>
        <v>0</v>
      </c>
      <c r="Q20" s="31">
        <v>0</v>
      </c>
      <c r="R20" s="30">
        <f>(Q20/B20)*100</f>
        <v>0</v>
      </c>
    </row>
    <row r="21" spans="1:18" x14ac:dyDescent="0.35">
      <c r="A21" s="25" t="s">
        <v>136</v>
      </c>
      <c r="B21" s="207">
        <v>32</v>
      </c>
      <c r="C21" s="207">
        <v>32</v>
      </c>
      <c r="D21" s="30">
        <f t="shared" si="0"/>
        <v>100</v>
      </c>
      <c r="E21" s="207">
        <v>22</v>
      </c>
      <c r="F21" s="30">
        <f t="shared" si="1"/>
        <v>68.75</v>
      </c>
      <c r="G21" s="31">
        <v>7</v>
      </c>
      <c r="H21" s="30">
        <f t="shared" si="5"/>
        <v>21.875</v>
      </c>
      <c r="I21" s="31">
        <v>2</v>
      </c>
      <c r="J21" s="30">
        <f t="shared" si="6"/>
        <v>6.25</v>
      </c>
      <c r="K21" s="207">
        <v>7</v>
      </c>
      <c r="L21" s="30">
        <f t="shared" si="2"/>
        <v>21.875</v>
      </c>
      <c r="M21" s="207">
        <v>3</v>
      </c>
      <c r="N21" s="30">
        <f t="shared" si="3"/>
        <v>9.375</v>
      </c>
      <c r="O21" s="207">
        <v>0</v>
      </c>
      <c r="P21" s="31">
        <f t="shared" si="4"/>
        <v>0</v>
      </c>
      <c r="Q21" s="31">
        <v>0</v>
      </c>
      <c r="R21" s="30">
        <f>(Q21/B21)*100</f>
        <v>0</v>
      </c>
    </row>
    <row r="22" spans="1:18" x14ac:dyDescent="0.35">
      <c r="A22" s="25" t="s">
        <v>137</v>
      </c>
      <c r="B22" s="207">
        <v>90</v>
      </c>
      <c r="C22" s="207">
        <v>76</v>
      </c>
      <c r="D22" s="30">
        <f t="shared" si="0"/>
        <v>84.444444444444443</v>
      </c>
      <c r="E22" s="207">
        <v>76</v>
      </c>
      <c r="F22" s="30">
        <f t="shared" si="1"/>
        <v>84.444444444444443</v>
      </c>
      <c r="G22" s="31" t="s">
        <v>119</v>
      </c>
      <c r="H22" s="30" t="s">
        <v>119</v>
      </c>
      <c r="I22" s="31" t="s">
        <v>119</v>
      </c>
      <c r="J22" s="30" t="s">
        <v>119</v>
      </c>
      <c r="K22" s="207">
        <v>1</v>
      </c>
      <c r="L22" s="30">
        <f t="shared" si="2"/>
        <v>1.1111111111111112</v>
      </c>
      <c r="M22" s="207">
        <v>1</v>
      </c>
      <c r="N22" s="30">
        <f t="shared" si="3"/>
        <v>1.1111111111111112</v>
      </c>
      <c r="O22" s="207">
        <v>0</v>
      </c>
      <c r="P22" s="31">
        <f t="shared" si="4"/>
        <v>0</v>
      </c>
      <c r="R22" s="30" t="s">
        <v>119</v>
      </c>
    </row>
    <row r="23" spans="1:18" x14ac:dyDescent="0.35">
      <c r="A23" s="25" t="s">
        <v>138</v>
      </c>
      <c r="B23" s="207">
        <v>77</v>
      </c>
      <c r="C23" s="207">
        <v>77</v>
      </c>
      <c r="D23" s="30">
        <f t="shared" si="0"/>
        <v>100</v>
      </c>
      <c r="E23" s="207">
        <v>47</v>
      </c>
      <c r="F23" s="30">
        <f t="shared" si="1"/>
        <v>61.038961038961034</v>
      </c>
      <c r="G23" s="31">
        <v>11</v>
      </c>
      <c r="H23" s="30">
        <f t="shared" si="5"/>
        <v>14.285714285714285</v>
      </c>
      <c r="I23" s="31">
        <v>1</v>
      </c>
      <c r="J23" s="30">
        <f t="shared" si="6"/>
        <v>1.2987012987012987</v>
      </c>
      <c r="K23" s="207">
        <v>23</v>
      </c>
      <c r="L23" s="30">
        <f t="shared" si="2"/>
        <v>29.870129870129869</v>
      </c>
      <c r="M23" s="207">
        <v>7</v>
      </c>
      <c r="N23" s="30">
        <f t="shared" si="3"/>
        <v>9.0909090909090917</v>
      </c>
      <c r="O23" s="207">
        <v>0</v>
      </c>
      <c r="P23" s="31">
        <f t="shared" si="4"/>
        <v>0</v>
      </c>
      <c r="Q23" s="31">
        <v>0</v>
      </c>
      <c r="R23" s="30">
        <f t="shared" ref="R23:R28" si="7">(Q23/B23)*100</f>
        <v>0</v>
      </c>
    </row>
    <row r="24" spans="1:18" x14ac:dyDescent="0.35">
      <c r="A24" s="25" t="s">
        <v>139</v>
      </c>
      <c r="B24" s="207">
        <v>136</v>
      </c>
      <c r="C24" s="207">
        <v>135</v>
      </c>
      <c r="D24" s="30">
        <f t="shared" si="0"/>
        <v>99.264705882352942</v>
      </c>
      <c r="E24" s="207">
        <v>100</v>
      </c>
      <c r="F24" s="30">
        <f t="shared" si="1"/>
        <v>73.529411764705884</v>
      </c>
      <c r="G24" s="31">
        <v>8</v>
      </c>
      <c r="H24" s="30">
        <f t="shared" si="5"/>
        <v>5.8823529411764701</v>
      </c>
      <c r="I24" s="31">
        <v>1</v>
      </c>
      <c r="J24" s="30">
        <f t="shared" si="6"/>
        <v>0.73529411764705876</v>
      </c>
      <c r="K24" s="207">
        <v>23</v>
      </c>
      <c r="L24" s="30">
        <f t="shared" si="2"/>
        <v>16.911764705882355</v>
      </c>
      <c r="M24" s="207">
        <v>12</v>
      </c>
      <c r="N24" s="30">
        <f t="shared" si="3"/>
        <v>8.8235294117647065</v>
      </c>
      <c r="O24" s="207">
        <v>0</v>
      </c>
      <c r="P24" s="31">
        <f t="shared" si="4"/>
        <v>0</v>
      </c>
      <c r="Q24" s="31">
        <v>0</v>
      </c>
      <c r="R24" s="30">
        <f t="shared" si="7"/>
        <v>0</v>
      </c>
    </row>
    <row r="25" spans="1:18" x14ac:dyDescent="0.35">
      <c r="A25" s="25" t="s">
        <v>140</v>
      </c>
      <c r="B25" s="207">
        <v>137</v>
      </c>
      <c r="C25" s="207">
        <v>137</v>
      </c>
      <c r="D25" s="30">
        <f t="shared" si="0"/>
        <v>100</v>
      </c>
      <c r="E25" s="207">
        <v>89</v>
      </c>
      <c r="F25" s="30">
        <f t="shared" si="1"/>
        <v>64.96350364963503</v>
      </c>
      <c r="G25" s="31">
        <v>17</v>
      </c>
      <c r="H25" s="30">
        <f t="shared" si="5"/>
        <v>12.408759124087592</v>
      </c>
      <c r="I25" s="31">
        <v>0</v>
      </c>
      <c r="J25" s="30">
        <f t="shared" si="6"/>
        <v>0</v>
      </c>
      <c r="K25" s="207">
        <v>41</v>
      </c>
      <c r="L25" s="30">
        <f t="shared" si="2"/>
        <v>29.927007299270077</v>
      </c>
      <c r="M25" s="207">
        <v>7</v>
      </c>
      <c r="N25" s="30">
        <f t="shared" si="3"/>
        <v>5.1094890510948909</v>
      </c>
      <c r="O25" s="207">
        <v>0</v>
      </c>
      <c r="P25" s="31">
        <f t="shared" si="4"/>
        <v>0</v>
      </c>
      <c r="Q25" s="31">
        <v>0</v>
      </c>
      <c r="R25" s="30">
        <f t="shared" si="7"/>
        <v>0</v>
      </c>
    </row>
    <row r="26" spans="1:18" x14ac:dyDescent="0.35">
      <c r="A26" s="25" t="s">
        <v>141</v>
      </c>
      <c r="B26" s="207">
        <v>72</v>
      </c>
      <c r="C26" s="207">
        <v>71</v>
      </c>
      <c r="D26" s="30">
        <f t="shared" si="0"/>
        <v>98.611111111111114</v>
      </c>
      <c r="E26" s="207">
        <v>44</v>
      </c>
      <c r="F26" s="30">
        <f t="shared" si="1"/>
        <v>61.111111111111114</v>
      </c>
      <c r="G26" s="31">
        <v>27</v>
      </c>
      <c r="H26" s="30">
        <f t="shared" si="5"/>
        <v>37.5</v>
      </c>
      <c r="I26" s="31">
        <v>0</v>
      </c>
      <c r="J26" s="30">
        <f t="shared" si="6"/>
        <v>0</v>
      </c>
      <c r="K26" s="207">
        <v>27</v>
      </c>
      <c r="L26" s="30">
        <f t="shared" si="2"/>
        <v>37.5</v>
      </c>
      <c r="M26" s="207">
        <v>0</v>
      </c>
      <c r="N26" s="30">
        <f t="shared" si="3"/>
        <v>0</v>
      </c>
      <c r="O26" s="207">
        <v>0</v>
      </c>
      <c r="P26" s="31">
        <f t="shared" si="4"/>
        <v>0</v>
      </c>
      <c r="Q26" s="31">
        <v>1</v>
      </c>
      <c r="R26" s="30">
        <f t="shared" si="7"/>
        <v>1.3888888888888888</v>
      </c>
    </row>
    <row r="27" spans="1:18" x14ac:dyDescent="0.35">
      <c r="A27" s="25" t="s">
        <v>142</v>
      </c>
      <c r="B27" s="207">
        <v>40</v>
      </c>
      <c r="C27" s="207">
        <v>40</v>
      </c>
      <c r="D27" s="30">
        <f t="shared" si="0"/>
        <v>100</v>
      </c>
      <c r="E27" s="207">
        <v>22</v>
      </c>
      <c r="F27" s="30">
        <f t="shared" si="1"/>
        <v>55.000000000000007</v>
      </c>
      <c r="G27" s="31">
        <v>4</v>
      </c>
      <c r="H27" s="30">
        <f t="shared" si="5"/>
        <v>10</v>
      </c>
      <c r="I27" s="31">
        <v>2</v>
      </c>
      <c r="J27" s="30">
        <f t="shared" si="6"/>
        <v>5</v>
      </c>
      <c r="K27" s="207">
        <v>18</v>
      </c>
      <c r="L27" s="30">
        <f t="shared" si="2"/>
        <v>45</v>
      </c>
      <c r="M27" s="207">
        <v>0</v>
      </c>
      <c r="N27" s="30">
        <f t="shared" si="3"/>
        <v>0</v>
      </c>
      <c r="O27" s="207">
        <v>0</v>
      </c>
      <c r="P27" s="31">
        <f t="shared" si="4"/>
        <v>0</v>
      </c>
      <c r="Q27" s="31">
        <v>0</v>
      </c>
      <c r="R27" s="30">
        <f t="shared" si="7"/>
        <v>0</v>
      </c>
    </row>
    <row r="28" spans="1:18" x14ac:dyDescent="0.35">
      <c r="A28" s="25" t="s">
        <v>143</v>
      </c>
      <c r="B28" s="207">
        <v>149</v>
      </c>
      <c r="C28" s="207">
        <v>149</v>
      </c>
      <c r="D28" s="30">
        <f t="shared" si="0"/>
        <v>100</v>
      </c>
      <c r="E28" s="207">
        <v>112</v>
      </c>
      <c r="F28" s="30">
        <f t="shared" si="1"/>
        <v>75.167785234899327</v>
      </c>
      <c r="G28" s="31">
        <v>6</v>
      </c>
      <c r="H28" s="30">
        <f t="shared" si="5"/>
        <v>4.0268456375838921</v>
      </c>
      <c r="I28" s="31">
        <v>1</v>
      </c>
      <c r="J28" s="30">
        <f t="shared" si="6"/>
        <v>0.67114093959731547</v>
      </c>
      <c r="K28" s="207">
        <v>25</v>
      </c>
      <c r="L28" s="30">
        <f t="shared" si="2"/>
        <v>16.778523489932887</v>
      </c>
      <c r="M28" s="207">
        <v>12</v>
      </c>
      <c r="N28" s="30">
        <f t="shared" si="3"/>
        <v>8.0536912751677843</v>
      </c>
      <c r="O28" s="207">
        <v>0</v>
      </c>
      <c r="P28" s="31">
        <f t="shared" si="4"/>
        <v>0</v>
      </c>
      <c r="Q28" s="31">
        <v>0</v>
      </c>
      <c r="R28" s="30">
        <f t="shared" si="7"/>
        <v>0</v>
      </c>
    </row>
    <row r="29" spans="1:18" x14ac:dyDescent="0.35">
      <c r="A29" s="25" t="s">
        <v>297</v>
      </c>
      <c r="B29" s="207">
        <v>11</v>
      </c>
      <c r="C29" s="207">
        <v>11</v>
      </c>
      <c r="D29" s="30">
        <f t="shared" si="0"/>
        <v>100</v>
      </c>
      <c r="E29" s="207">
        <v>7</v>
      </c>
      <c r="F29" s="30">
        <f t="shared" si="1"/>
        <v>63.636363636363633</v>
      </c>
      <c r="G29" s="31" t="s">
        <v>128</v>
      </c>
      <c r="H29" s="30" t="s">
        <v>128</v>
      </c>
      <c r="I29" s="31" t="s">
        <v>128</v>
      </c>
      <c r="J29" s="30" t="s">
        <v>128</v>
      </c>
      <c r="K29" s="207">
        <v>4</v>
      </c>
      <c r="L29" s="30">
        <f t="shared" si="2"/>
        <v>36.363636363636367</v>
      </c>
      <c r="M29" s="207">
        <v>0</v>
      </c>
      <c r="N29" s="30">
        <f t="shared" si="3"/>
        <v>0</v>
      </c>
      <c r="O29" s="207">
        <v>0</v>
      </c>
      <c r="P29" s="31">
        <f t="shared" si="4"/>
        <v>0</v>
      </c>
      <c r="Q29" s="31" t="s">
        <v>119</v>
      </c>
      <c r="R29" s="30" t="s">
        <v>128</v>
      </c>
    </row>
    <row r="30" spans="1:18" ht="17.399999999999999" customHeight="1" thickBot="1" x14ac:dyDescent="0.4">
      <c r="A30" s="23" t="s">
        <v>700</v>
      </c>
      <c r="B30" s="29">
        <v>25</v>
      </c>
      <c r="C30" s="29">
        <v>25</v>
      </c>
      <c r="D30" s="33">
        <f t="shared" si="0"/>
        <v>100</v>
      </c>
      <c r="E30" s="29">
        <v>13</v>
      </c>
      <c r="F30" s="33">
        <f t="shared" si="1"/>
        <v>52</v>
      </c>
      <c r="G30" s="34" t="s">
        <v>128</v>
      </c>
      <c r="H30" s="30" t="s">
        <v>128</v>
      </c>
      <c r="I30" s="34" t="s">
        <v>128</v>
      </c>
      <c r="J30" s="30" t="s">
        <v>128</v>
      </c>
      <c r="K30" s="29">
        <v>12</v>
      </c>
      <c r="L30" s="33">
        <f t="shared" si="2"/>
        <v>48</v>
      </c>
      <c r="M30" s="29">
        <v>0</v>
      </c>
      <c r="N30" s="33">
        <f t="shared" si="3"/>
        <v>0</v>
      </c>
      <c r="O30" s="29">
        <v>0</v>
      </c>
      <c r="P30" s="34">
        <f t="shared" si="4"/>
        <v>0</v>
      </c>
      <c r="Q30" s="34" t="s">
        <v>128</v>
      </c>
      <c r="R30" s="30" t="s">
        <v>128</v>
      </c>
    </row>
    <row r="31" spans="1:18" ht="15" thickBot="1" x14ac:dyDescent="0.4">
      <c r="A31" s="72" t="s">
        <v>969</v>
      </c>
      <c r="B31" s="132">
        <f>SUM(B3:B30)</f>
        <v>2027</v>
      </c>
      <c r="C31" s="132">
        <f>SUM(C3:C30)</f>
        <v>1996</v>
      </c>
      <c r="D31" s="133">
        <f>(C31/B31)*100</f>
        <v>98.47064627528367</v>
      </c>
      <c r="E31" s="132">
        <f>SUM(E3:E30)</f>
        <v>1571</v>
      </c>
      <c r="F31" s="133">
        <f t="shared" ref="F31" si="8">(E31/B31)*100</f>
        <v>77.503700049333986</v>
      </c>
      <c r="G31" s="134">
        <f>SUM(G3:G30)</f>
        <v>249</v>
      </c>
      <c r="H31" s="133">
        <f>(G31/B31)*100</f>
        <v>12.284163788850517</v>
      </c>
      <c r="I31" s="134">
        <f>SUM(I3:I30)</f>
        <v>26</v>
      </c>
      <c r="J31" s="133">
        <f>(I31/B31)*100</f>
        <v>1.2826837691169217</v>
      </c>
      <c r="K31" s="132">
        <f>SUM(K3:K30)</f>
        <v>368</v>
      </c>
      <c r="L31" s="133">
        <f t="shared" ref="L31" si="9">(K31/B31)*100</f>
        <v>18.154908732116429</v>
      </c>
      <c r="M31" s="132">
        <f>SUM(M3:M30)</f>
        <v>59</v>
      </c>
      <c r="N31" s="133">
        <f t="shared" ref="N31" si="10">(M31/B31)*100</f>
        <v>2.9107054760730144</v>
      </c>
      <c r="O31" s="132">
        <f>SUM(O3:O30)</f>
        <v>0</v>
      </c>
      <c r="P31" s="133">
        <f t="shared" ref="P31" si="11">(O31/B31)*100</f>
        <v>0</v>
      </c>
      <c r="Q31" s="134">
        <f>SUM(Q3:Q30)</f>
        <v>8</v>
      </c>
      <c r="R31" s="133">
        <f>(Q31/B31)*100</f>
        <v>0.39467192895905284</v>
      </c>
    </row>
    <row r="32" spans="1:18" x14ac:dyDescent="0.35">
      <c r="A32" s="22" t="s">
        <v>169</v>
      </c>
      <c r="B32" s="36">
        <v>1</v>
      </c>
      <c r="C32" s="36">
        <v>1</v>
      </c>
      <c r="D32" s="37">
        <f t="shared" si="0"/>
        <v>100</v>
      </c>
      <c r="E32" s="36">
        <v>0</v>
      </c>
      <c r="F32" s="37">
        <f t="shared" si="1"/>
        <v>0</v>
      </c>
      <c r="G32" s="38" t="s">
        <v>128</v>
      </c>
      <c r="H32" s="37" t="s">
        <v>128</v>
      </c>
      <c r="I32" s="38" t="s">
        <v>128</v>
      </c>
      <c r="J32" s="37" t="s">
        <v>128</v>
      </c>
      <c r="K32" s="36">
        <v>1</v>
      </c>
      <c r="L32" s="37">
        <f t="shared" si="2"/>
        <v>100</v>
      </c>
      <c r="M32" s="36">
        <v>0</v>
      </c>
      <c r="N32" s="37">
        <f t="shared" si="3"/>
        <v>0</v>
      </c>
      <c r="O32" s="36">
        <v>0</v>
      </c>
      <c r="P32" s="35">
        <f t="shared" si="4"/>
        <v>0</v>
      </c>
      <c r="Q32" s="38" t="s">
        <v>128</v>
      </c>
      <c r="R32" s="37" t="s">
        <v>128</v>
      </c>
    </row>
    <row r="33" spans="1:18" ht="15" thickBot="1" x14ac:dyDescent="0.4">
      <c r="A33" s="28" t="s">
        <v>150</v>
      </c>
      <c r="B33" s="29">
        <v>79</v>
      </c>
      <c r="C33" s="29">
        <v>75</v>
      </c>
      <c r="D33" s="39">
        <f t="shared" si="0"/>
        <v>94.936708860759495</v>
      </c>
      <c r="E33" s="29">
        <v>65</v>
      </c>
      <c r="F33" s="39">
        <f t="shared" si="1"/>
        <v>82.278481012658233</v>
      </c>
      <c r="G33" s="40">
        <v>3</v>
      </c>
      <c r="H33" s="39">
        <f t="shared" ref="H33" si="12">(G33/B33)*100</f>
        <v>3.79746835443038</v>
      </c>
      <c r="I33" s="40">
        <v>7</v>
      </c>
      <c r="J33" s="39">
        <f t="shared" ref="J33" si="13">(I33/B33)*100</f>
        <v>8.8607594936708853</v>
      </c>
      <c r="K33" s="29">
        <v>9</v>
      </c>
      <c r="L33" s="39">
        <f t="shared" si="2"/>
        <v>11.39240506329114</v>
      </c>
      <c r="M33" s="29">
        <v>1</v>
      </c>
      <c r="N33" s="39">
        <f t="shared" si="3"/>
        <v>1.2658227848101267</v>
      </c>
      <c r="O33" s="41">
        <v>0</v>
      </c>
      <c r="P33" s="40">
        <f t="shared" si="4"/>
        <v>0</v>
      </c>
      <c r="Q33" s="40">
        <v>4</v>
      </c>
      <c r="R33" s="30">
        <f>(Q33/B33)*100</f>
        <v>5.0632911392405067</v>
      </c>
    </row>
    <row r="34" spans="1:18" ht="15" thickBot="1" x14ac:dyDescent="0.4">
      <c r="A34" s="72" t="s">
        <v>173</v>
      </c>
      <c r="B34" s="132">
        <f>SUM(B32:B33)</f>
        <v>80</v>
      </c>
      <c r="C34" s="132">
        <f>SUM(C32:C33)</f>
        <v>76</v>
      </c>
      <c r="D34" s="133">
        <f>(C34/B34)*100</f>
        <v>95</v>
      </c>
      <c r="E34" s="132">
        <f>SUM(E32:E33)</f>
        <v>65</v>
      </c>
      <c r="F34" s="133">
        <f t="shared" si="1"/>
        <v>81.25</v>
      </c>
      <c r="G34" s="132">
        <f>SUM(G32:G33)</f>
        <v>3</v>
      </c>
      <c r="H34" s="133">
        <f>(G34/B34)*100</f>
        <v>3.75</v>
      </c>
      <c r="I34" s="134">
        <f>SUM(I32:I33)</f>
        <v>7</v>
      </c>
      <c r="J34" s="133">
        <f>(I34/B34)*100</f>
        <v>8.75</v>
      </c>
      <c r="K34" s="132">
        <f>SUM(K32:K33)</f>
        <v>10</v>
      </c>
      <c r="L34" s="133">
        <f t="shared" si="2"/>
        <v>12.5</v>
      </c>
      <c r="M34" s="132">
        <f>SUM(M32:M33)</f>
        <v>1</v>
      </c>
      <c r="N34" s="133">
        <f t="shared" si="3"/>
        <v>1.25</v>
      </c>
      <c r="O34" s="132">
        <f>SUM(O32:O33)</f>
        <v>0</v>
      </c>
      <c r="P34" s="133">
        <f t="shared" si="4"/>
        <v>0</v>
      </c>
      <c r="Q34" s="134">
        <f>SUM(Q32:Q33)</f>
        <v>4</v>
      </c>
      <c r="R34" s="133">
        <f>(Q34/B34)*100</f>
        <v>5</v>
      </c>
    </row>
    <row r="35" spans="1:18" ht="15" thickBot="1" x14ac:dyDescent="0.4">
      <c r="A35" s="72" t="s">
        <v>903</v>
      </c>
      <c r="B35" s="132">
        <f>SUM(B31,B34)</f>
        <v>2107</v>
      </c>
      <c r="C35" s="132">
        <f>SUM(C31,C34)</f>
        <v>2072</v>
      </c>
      <c r="D35" s="133">
        <f t="shared" ref="D35" si="14">(C35/B35)*100</f>
        <v>98.338870431893682</v>
      </c>
      <c r="E35" s="132">
        <f>SUM(E31,E34)</f>
        <v>1636</v>
      </c>
      <c r="F35" s="133">
        <f t="shared" si="1"/>
        <v>77.645942097769336</v>
      </c>
      <c r="G35" s="132">
        <f>SUM(G31,G34)</f>
        <v>252</v>
      </c>
      <c r="H35" s="133">
        <f>(G35/B35)*100</f>
        <v>11.960132890365449</v>
      </c>
      <c r="I35" s="134">
        <f>SUM(I31,I34)</f>
        <v>33</v>
      </c>
      <c r="J35" s="133">
        <f>(I35/B35)*100</f>
        <v>1.5662078785002371</v>
      </c>
      <c r="K35" s="132">
        <f>SUM(K31,K34)</f>
        <v>378</v>
      </c>
      <c r="L35" s="133">
        <f t="shared" si="2"/>
        <v>17.940199335548172</v>
      </c>
      <c r="M35" s="132">
        <f>SUM(M31,M34)</f>
        <v>60</v>
      </c>
      <c r="N35" s="133">
        <f>(M35/B35)*100</f>
        <v>2.8476506881822496</v>
      </c>
      <c r="O35" s="132">
        <f>SUM(O31,O34)</f>
        <v>0</v>
      </c>
      <c r="P35" s="133">
        <f t="shared" si="4"/>
        <v>0</v>
      </c>
      <c r="Q35" s="134">
        <f>SUM(Q31,Q34)</f>
        <v>12</v>
      </c>
      <c r="R35" s="133">
        <f>(Q35/B35)*100</f>
        <v>0.56953013763644988</v>
      </c>
    </row>
    <row r="36" spans="1:18" x14ac:dyDescent="0.35">
      <c r="A36" s="27"/>
    </row>
    <row r="37" spans="1:18" x14ac:dyDescent="0.35">
      <c r="A37" t="s">
        <v>970</v>
      </c>
    </row>
  </sheetData>
  <mergeCells count="10">
    <mergeCell ref="Q1:R1"/>
    <mergeCell ref="O1:P1"/>
    <mergeCell ref="B1:B2"/>
    <mergeCell ref="A1:A2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7">
    <tabColor theme="9" tint="0.59999389629810485"/>
  </sheetPr>
  <dimension ref="A1:R34"/>
  <sheetViews>
    <sheetView zoomScale="80" zoomScaleNormal="80" workbookViewId="0">
      <pane ySplit="2" topLeftCell="A3" activePane="bottomLeft" state="frozen"/>
      <selection pane="bottomLeft" activeCell="B3" sqref="B3"/>
    </sheetView>
  </sheetViews>
  <sheetFormatPr defaultColWidth="10.6328125" defaultRowHeight="14.5" x14ac:dyDescent="0.35"/>
  <cols>
    <col min="1" max="1" width="32.54296875" customWidth="1"/>
    <col min="3" max="3" width="12.81640625" customWidth="1"/>
    <col min="4" max="4" width="12.81640625" style="2" customWidth="1"/>
    <col min="5" max="5" width="12.81640625" customWidth="1"/>
    <col min="6" max="6" width="12.81640625" style="2" customWidth="1"/>
    <col min="7" max="7" width="12.81640625" customWidth="1"/>
    <col min="8" max="8" width="12.81640625" style="2" customWidth="1"/>
    <col min="9" max="9" width="12.81640625" customWidth="1"/>
    <col min="10" max="10" width="12.81640625" style="2" customWidth="1"/>
    <col min="11" max="11" width="12.81640625" customWidth="1"/>
    <col min="12" max="12" width="12.81640625" style="2" customWidth="1"/>
    <col min="13" max="13" width="12.81640625" customWidth="1"/>
    <col min="14" max="14" width="12.81640625" style="2" customWidth="1"/>
    <col min="15" max="15" width="12.81640625" customWidth="1"/>
    <col min="16" max="16" width="12.81640625" style="2" customWidth="1"/>
    <col min="17" max="17" width="12.81640625" customWidth="1"/>
    <col min="18" max="18" width="12.81640625" style="2" customWidth="1"/>
  </cols>
  <sheetData>
    <row r="1" spans="1:18" ht="17" thickBot="1" x14ac:dyDescent="0.4">
      <c r="A1" s="257" t="s">
        <v>108</v>
      </c>
      <c r="B1" s="242" t="s">
        <v>87</v>
      </c>
      <c r="C1" s="231" t="s">
        <v>109</v>
      </c>
      <c r="D1" s="231"/>
      <c r="E1" s="231" t="s">
        <v>160</v>
      </c>
      <c r="F1" s="231"/>
      <c r="G1" s="231" t="s">
        <v>161</v>
      </c>
      <c r="H1" s="231"/>
      <c r="I1" s="231" t="s">
        <v>162</v>
      </c>
      <c r="J1" s="231"/>
      <c r="K1" s="231" t="s">
        <v>163</v>
      </c>
      <c r="L1" s="231"/>
      <c r="M1" s="231" t="s">
        <v>164</v>
      </c>
      <c r="N1" s="231"/>
      <c r="O1" s="231" t="s">
        <v>165</v>
      </c>
      <c r="P1" s="231"/>
      <c r="Q1" s="264" t="s">
        <v>1020</v>
      </c>
      <c r="R1" s="264"/>
    </row>
    <row r="2" spans="1:18" ht="15" thickBot="1" x14ac:dyDescent="0.4">
      <c r="A2" s="258"/>
      <c r="B2" s="231"/>
      <c r="C2" s="85" t="s">
        <v>83</v>
      </c>
      <c r="D2" s="94" t="s">
        <v>94</v>
      </c>
      <c r="E2" s="85" t="s">
        <v>83</v>
      </c>
      <c r="F2" s="94" t="s">
        <v>94</v>
      </c>
      <c r="G2" s="85" t="s">
        <v>83</v>
      </c>
      <c r="H2" s="94" t="s">
        <v>94</v>
      </c>
      <c r="I2" s="85" t="s">
        <v>83</v>
      </c>
      <c r="J2" s="94" t="s">
        <v>94</v>
      </c>
      <c r="K2" s="85" t="s">
        <v>83</v>
      </c>
      <c r="L2" s="94" t="s">
        <v>94</v>
      </c>
      <c r="M2" s="85" t="s">
        <v>83</v>
      </c>
      <c r="N2" s="94" t="s">
        <v>94</v>
      </c>
      <c r="O2" s="85" t="s">
        <v>83</v>
      </c>
      <c r="P2" s="94" t="s">
        <v>94</v>
      </c>
      <c r="Q2" s="85" t="s">
        <v>83</v>
      </c>
      <c r="R2" s="94" t="s">
        <v>94</v>
      </c>
    </row>
    <row r="3" spans="1:18" x14ac:dyDescent="0.35">
      <c r="A3" s="56" t="s">
        <v>974</v>
      </c>
      <c r="B3" s="57">
        <v>63</v>
      </c>
      <c r="C3" s="57">
        <v>63</v>
      </c>
      <c r="D3" s="44">
        <f>(C3/B3)*100</f>
        <v>100</v>
      </c>
      <c r="E3" s="57">
        <v>51</v>
      </c>
      <c r="F3" s="44">
        <f>(E3/B3)*100</f>
        <v>80.952380952380949</v>
      </c>
      <c r="G3" s="6" t="s">
        <v>128</v>
      </c>
      <c r="H3" s="44" t="s">
        <v>128</v>
      </c>
      <c r="I3" s="6" t="s">
        <v>128</v>
      </c>
      <c r="J3" s="44" t="s">
        <v>128</v>
      </c>
      <c r="K3" s="6">
        <v>12</v>
      </c>
      <c r="L3" s="44">
        <f>(K3/B3)*100</f>
        <v>19.047619047619047</v>
      </c>
      <c r="M3" s="57">
        <v>0</v>
      </c>
      <c r="N3" s="44">
        <f>(M3/B3)*100</f>
        <v>0</v>
      </c>
      <c r="O3" s="57">
        <v>0</v>
      </c>
      <c r="P3" s="44">
        <f>(O3/B3)*100</f>
        <v>0</v>
      </c>
      <c r="Q3" s="6" t="s">
        <v>128</v>
      </c>
      <c r="R3" s="44" t="s">
        <v>128</v>
      </c>
    </row>
    <row r="4" spans="1:18" x14ac:dyDescent="0.35">
      <c r="A4" s="56" t="s">
        <v>975</v>
      </c>
      <c r="B4" s="57">
        <v>28</v>
      </c>
      <c r="C4" s="57">
        <v>28</v>
      </c>
      <c r="D4" s="44">
        <f t="shared" ref="D4:D30" si="0">(C4/B4)*100</f>
        <v>100</v>
      </c>
      <c r="E4" s="57">
        <v>23</v>
      </c>
      <c r="F4" s="44">
        <f t="shared" ref="F4:F29" si="1">(E4/B4)*100</f>
        <v>82.142857142857139</v>
      </c>
      <c r="G4" s="6" t="s">
        <v>128</v>
      </c>
      <c r="H4" s="44" t="s">
        <v>128</v>
      </c>
      <c r="I4" s="6" t="s">
        <v>128</v>
      </c>
      <c r="J4" s="44" t="s">
        <v>128</v>
      </c>
      <c r="K4" s="6">
        <v>5</v>
      </c>
      <c r="L4" s="44">
        <f t="shared" ref="L4:L27" si="2">(K4/B4)*100</f>
        <v>17.857142857142858</v>
      </c>
      <c r="M4" s="57">
        <v>0</v>
      </c>
      <c r="N4" s="44">
        <f t="shared" ref="N4:N32" si="3">(M4/B4)*100</f>
        <v>0</v>
      </c>
      <c r="O4" s="57">
        <v>0</v>
      </c>
      <c r="P4" s="44">
        <f t="shared" ref="P4:P32" si="4">(O4/B4)*100</f>
        <v>0</v>
      </c>
      <c r="Q4" s="6" t="s">
        <v>128</v>
      </c>
      <c r="R4" s="44" t="s">
        <v>128</v>
      </c>
    </row>
    <row r="5" spans="1:18" x14ac:dyDescent="0.35">
      <c r="A5" s="56" t="s">
        <v>976</v>
      </c>
      <c r="B5" s="57">
        <v>23</v>
      </c>
      <c r="C5" s="57">
        <v>22</v>
      </c>
      <c r="D5" s="44">
        <f t="shared" si="0"/>
        <v>95.652173913043484</v>
      </c>
      <c r="E5" s="57">
        <v>21</v>
      </c>
      <c r="F5" s="44">
        <f t="shared" si="1"/>
        <v>91.304347826086953</v>
      </c>
      <c r="G5" s="58">
        <v>12</v>
      </c>
      <c r="H5" s="44">
        <f>(G5/B5)*100</f>
        <v>52.173913043478258</v>
      </c>
      <c r="I5" s="58">
        <v>0</v>
      </c>
      <c r="J5" s="44">
        <f>(I5/B5)*100</f>
        <v>0</v>
      </c>
      <c r="K5" s="6">
        <v>1</v>
      </c>
      <c r="L5" s="44">
        <f t="shared" si="2"/>
        <v>4.3478260869565215</v>
      </c>
      <c r="M5" s="57">
        <v>0</v>
      </c>
      <c r="N5" s="44">
        <f t="shared" si="3"/>
        <v>0</v>
      </c>
      <c r="O5" s="57">
        <v>0</v>
      </c>
      <c r="P5" s="44">
        <f t="shared" si="4"/>
        <v>0</v>
      </c>
      <c r="Q5">
        <v>0</v>
      </c>
      <c r="R5" s="44">
        <f>(Q5/B5)*100</f>
        <v>0</v>
      </c>
    </row>
    <row r="6" spans="1:18" x14ac:dyDescent="0.35">
      <c r="A6" s="56" t="s">
        <v>977</v>
      </c>
      <c r="B6" s="57">
        <v>15</v>
      </c>
      <c r="C6" s="57">
        <v>15</v>
      </c>
      <c r="D6" s="44">
        <f t="shared" si="0"/>
        <v>100</v>
      </c>
      <c r="E6" s="57">
        <v>15</v>
      </c>
      <c r="F6" s="44">
        <f t="shared" si="1"/>
        <v>100</v>
      </c>
      <c r="G6" s="58">
        <v>5</v>
      </c>
      <c r="H6" s="44">
        <f t="shared" ref="H6:H27" si="5">(G6/B6)*100</f>
        <v>33.333333333333329</v>
      </c>
      <c r="I6" s="58">
        <v>0</v>
      </c>
      <c r="J6" s="44">
        <f t="shared" ref="J6:J27" si="6">(I6/B6)*100</f>
        <v>0</v>
      </c>
      <c r="K6" s="6">
        <v>0</v>
      </c>
      <c r="L6" s="44">
        <f t="shared" si="2"/>
        <v>0</v>
      </c>
      <c r="M6" s="57">
        <v>0</v>
      </c>
      <c r="N6" s="44">
        <f t="shared" si="3"/>
        <v>0</v>
      </c>
      <c r="O6" s="57">
        <v>0</v>
      </c>
      <c r="P6" s="44">
        <f t="shared" si="4"/>
        <v>0</v>
      </c>
      <c r="Q6">
        <v>0</v>
      </c>
      <c r="R6" s="44">
        <f>(Q6/B6)*100</f>
        <v>0</v>
      </c>
    </row>
    <row r="7" spans="1:18" x14ac:dyDescent="0.35">
      <c r="A7" s="56" t="s">
        <v>978</v>
      </c>
      <c r="B7" s="57">
        <v>21</v>
      </c>
      <c r="C7" s="57">
        <v>21</v>
      </c>
      <c r="D7" s="44">
        <f t="shared" si="0"/>
        <v>100</v>
      </c>
      <c r="E7" s="57">
        <v>21</v>
      </c>
      <c r="F7" s="44">
        <f t="shared" si="1"/>
        <v>100</v>
      </c>
      <c r="G7" s="6" t="s">
        <v>128</v>
      </c>
      <c r="H7" s="44" t="s">
        <v>128</v>
      </c>
      <c r="I7" s="6" t="s">
        <v>128</v>
      </c>
      <c r="J7" s="44" t="s">
        <v>128</v>
      </c>
      <c r="K7" s="6">
        <v>0</v>
      </c>
      <c r="L7" s="44">
        <f t="shared" si="2"/>
        <v>0</v>
      </c>
      <c r="M7" s="57">
        <v>0</v>
      </c>
      <c r="N7" s="44">
        <f t="shared" si="3"/>
        <v>0</v>
      </c>
      <c r="O7" s="57">
        <v>0</v>
      </c>
      <c r="P7" s="44">
        <f t="shared" si="4"/>
        <v>0</v>
      </c>
      <c r="R7" s="44" t="s">
        <v>128</v>
      </c>
    </row>
    <row r="8" spans="1:18" x14ac:dyDescent="0.35">
      <c r="A8" s="56" t="s">
        <v>979</v>
      </c>
      <c r="B8" s="57">
        <v>48</v>
      </c>
      <c r="C8" s="57">
        <v>48</v>
      </c>
      <c r="D8" s="44">
        <f t="shared" si="0"/>
        <v>100</v>
      </c>
      <c r="E8" s="57">
        <v>37</v>
      </c>
      <c r="F8" s="44">
        <f t="shared" si="1"/>
        <v>77.083333333333343</v>
      </c>
      <c r="G8" s="58">
        <v>3</v>
      </c>
      <c r="H8" s="44">
        <f t="shared" si="5"/>
        <v>6.25</v>
      </c>
      <c r="I8" s="58">
        <v>0</v>
      </c>
      <c r="J8" s="44">
        <f t="shared" si="6"/>
        <v>0</v>
      </c>
      <c r="K8" s="6">
        <v>6</v>
      </c>
      <c r="L8" s="44">
        <f t="shared" si="2"/>
        <v>12.5</v>
      </c>
      <c r="M8" s="57">
        <v>5</v>
      </c>
      <c r="N8" s="44">
        <f t="shared" si="3"/>
        <v>10.416666666666668</v>
      </c>
      <c r="O8" s="57">
        <v>0</v>
      </c>
      <c r="P8" s="44">
        <f t="shared" si="4"/>
        <v>0</v>
      </c>
      <c r="Q8">
        <v>0</v>
      </c>
      <c r="R8" s="44">
        <f>(Q8/B8)*100</f>
        <v>0</v>
      </c>
    </row>
    <row r="9" spans="1:18" x14ac:dyDescent="0.35">
      <c r="A9" s="56" t="s">
        <v>980</v>
      </c>
      <c r="B9" s="57">
        <v>43</v>
      </c>
      <c r="C9" s="57">
        <v>43</v>
      </c>
      <c r="D9" s="44">
        <f t="shared" si="0"/>
        <v>100</v>
      </c>
      <c r="E9" s="57">
        <v>36</v>
      </c>
      <c r="F9" s="44">
        <f t="shared" si="1"/>
        <v>83.720930232558146</v>
      </c>
      <c r="G9" s="58">
        <v>9</v>
      </c>
      <c r="H9" s="44">
        <f t="shared" si="5"/>
        <v>20.930232558139537</v>
      </c>
      <c r="I9" s="58">
        <v>0</v>
      </c>
      <c r="J9" s="44">
        <f t="shared" si="6"/>
        <v>0</v>
      </c>
      <c r="K9" s="6">
        <v>3</v>
      </c>
      <c r="L9" s="44">
        <f t="shared" si="2"/>
        <v>6.9767441860465116</v>
      </c>
      <c r="M9" s="57">
        <v>4</v>
      </c>
      <c r="N9" s="44">
        <f t="shared" si="3"/>
        <v>9.3023255813953494</v>
      </c>
      <c r="O9" s="57">
        <v>0</v>
      </c>
      <c r="P9" s="44">
        <f t="shared" si="4"/>
        <v>0</v>
      </c>
      <c r="Q9">
        <v>0</v>
      </c>
      <c r="R9" s="44">
        <f>(Q9/B9)*100</f>
        <v>0</v>
      </c>
    </row>
    <row r="10" spans="1:18" x14ac:dyDescent="0.35">
      <c r="A10" s="56" t="s">
        <v>981</v>
      </c>
      <c r="B10" s="57">
        <v>25</v>
      </c>
      <c r="C10" s="57">
        <v>24</v>
      </c>
      <c r="D10" s="44">
        <f t="shared" si="0"/>
        <v>96</v>
      </c>
      <c r="E10" s="57">
        <v>21</v>
      </c>
      <c r="F10" s="44">
        <f t="shared" si="1"/>
        <v>84</v>
      </c>
      <c r="G10" s="58">
        <v>2</v>
      </c>
      <c r="H10" s="44">
        <f t="shared" si="5"/>
        <v>8</v>
      </c>
      <c r="I10" s="58">
        <v>3</v>
      </c>
      <c r="J10" s="44">
        <f t="shared" si="6"/>
        <v>12</v>
      </c>
      <c r="K10" s="6">
        <v>3</v>
      </c>
      <c r="L10" s="44">
        <f t="shared" si="2"/>
        <v>12</v>
      </c>
      <c r="M10" s="57">
        <v>0</v>
      </c>
      <c r="N10" s="44">
        <f t="shared" si="3"/>
        <v>0</v>
      </c>
      <c r="O10" s="57">
        <v>0</v>
      </c>
      <c r="P10" s="44">
        <f t="shared" si="4"/>
        <v>0</v>
      </c>
      <c r="Q10">
        <v>1</v>
      </c>
      <c r="R10" s="44">
        <f>(Q10/B10)*100</f>
        <v>4</v>
      </c>
    </row>
    <row r="11" spans="1:18" x14ac:dyDescent="0.35">
      <c r="A11" s="56" t="s">
        <v>982</v>
      </c>
      <c r="B11" s="57">
        <v>98</v>
      </c>
      <c r="C11" s="57">
        <v>98</v>
      </c>
      <c r="D11" s="44">
        <f t="shared" si="0"/>
        <v>100</v>
      </c>
      <c r="E11" s="57">
        <v>84</v>
      </c>
      <c r="F11" s="44">
        <f t="shared" si="1"/>
        <v>85.714285714285708</v>
      </c>
      <c r="G11" s="6" t="s">
        <v>128</v>
      </c>
      <c r="H11" s="44" t="s">
        <v>128</v>
      </c>
      <c r="I11" s="6" t="s">
        <v>128</v>
      </c>
      <c r="J11" s="44" t="s">
        <v>128</v>
      </c>
      <c r="K11" s="6">
        <v>14</v>
      </c>
      <c r="L11" s="44">
        <f t="shared" si="2"/>
        <v>14.285714285714285</v>
      </c>
      <c r="M11" s="57">
        <v>0</v>
      </c>
      <c r="N11" s="44">
        <f t="shared" si="3"/>
        <v>0</v>
      </c>
      <c r="O11" s="57">
        <v>0</v>
      </c>
      <c r="P11" s="44">
        <f t="shared" si="4"/>
        <v>0</v>
      </c>
      <c r="R11" s="44" t="s">
        <v>128</v>
      </c>
    </row>
    <row r="12" spans="1:18" x14ac:dyDescent="0.35">
      <c r="A12" s="56" t="s">
        <v>983</v>
      </c>
      <c r="B12" s="57">
        <v>17</v>
      </c>
      <c r="C12" s="57">
        <v>17</v>
      </c>
      <c r="D12" s="44">
        <f t="shared" si="0"/>
        <v>100</v>
      </c>
      <c r="E12" s="57">
        <v>15</v>
      </c>
      <c r="F12" s="44">
        <f t="shared" si="1"/>
        <v>88.235294117647058</v>
      </c>
      <c r="G12" s="58">
        <v>3</v>
      </c>
      <c r="H12" s="44">
        <f t="shared" si="5"/>
        <v>17.647058823529413</v>
      </c>
      <c r="I12" s="58">
        <v>0</v>
      </c>
      <c r="J12" s="44">
        <f t="shared" si="6"/>
        <v>0</v>
      </c>
      <c r="K12" s="6">
        <v>1</v>
      </c>
      <c r="L12" s="44">
        <f t="shared" si="2"/>
        <v>5.8823529411764701</v>
      </c>
      <c r="M12" s="57">
        <v>1</v>
      </c>
      <c r="N12" s="44">
        <f t="shared" si="3"/>
        <v>5.8823529411764701</v>
      </c>
      <c r="O12" s="57">
        <v>0</v>
      </c>
      <c r="P12" s="44">
        <f t="shared" si="4"/>
        <v>0</v>
      </c>
      <c r="Q12">
        <v>0</v>
      </c>
      <c r="R12" s="44">
        <f>(Q12/B12)*100</f>
        <v>0</v>
      </c>
    </row>
    <row r="13" spans="1:18" x14ac:dyDescent="0.35">
      <c r="A13" s="56" t="s">
        <v>984</v>
      </c>
      <c r="B13" s="57">
        <v>39</v>
      </c>
      <c r="C13" s="57">
        <v>38</v>
      </c>
      <c r="D13" s="44">
        <f t="shared" si="0"/>
        <v>97.435897435897431</v>
      </c>
      <c r="E13" s="57">
        <v>34</v>
      </c>
      <c r="F13" s="44">
        <f t="shared" si="1"/>
        <v>87.179487179487182</v>
      </c>
      <c r="G13" s="58">
        <v>9</v>
      </c>
      <c r="H13" s="44">
        <f t="shared" si="5"/>
        <v>23.076923076923077</v>
      </c>
      <c r="I13" s="58">
        <v>1</v>
      </c>
      <c r="J13" s="44">
        <f t="shared" si="6"/>
        <v>2.5641025641025639</v>
      </c>
      <c r="K13" s="6">
        <v>4</v>
      </c>
      <c r="L13" s="44">
        <f t="shared" si="2"/>
        <v>10.256410256410255</v>
      </c>
      <c r="M13" s="57">
        <v>0</v>
      </c>
      <c r="N13" s="44">
        <f t="shared" si="3"/>
        <v>0</v>
      </c>
      <c r="O13" s="57">
        <v>0</v>
      </c>
      <c r="P13" s="44">
        <f t="shared" si="4"/>
        <v>0</v>
      </c>
      <c r="Q13">
        <v>1</v>
      </c>
      <c r="R13" s="44">
        <f>(Q13/B13)*100</f>
        <v>2.5641025641025639</v>
      </c>
    </row>
    <row r="14" spans="1:18" x14ac:dyDescent="0.35">
      <c r="A14" s="56" t="s">
        <v>985</v>
      </c>
      <c r="B14" s="57">
        <v>28</v>
      </c>
      <c r="C14" s="57">
        <v>28</v>
      </c>
      <c r="D14" s="44">
        <f t="shared" si="0"/>
        <v>100</v>
      </c>
      <c r="E14" s="57">
        <v>25</v>
      </c>
      <c r="F14" s="44">
        <f t="shared" si="1"/>
        <v>89.285714285714292</v>
      </c>
      <c r="G14" s="58">
        <v>8</v>
      </c>
      <c r="H14" s="44">
        <f t="shared" si="5"/>
        <v>28.571428571428569</v>
      </c>
      <c r="I14" s="58">
        <v>1</v>
      </c>
      <c r="J14" s="44">
        <f t="shared" si="6"/>
        <v>3.5714285714285712</v>
      </c>
      <c r="K14" s="6">
        <v>3</v>
      </c>
      <c r="L14" s="44">
        <f t="shared" si="2"/>
        <v>10.714285714285714</v>
      </c>
      <c r="M14" s="57">
        <v>0</v>
      </c>
      <c r="N14" s="44">
        <f t="shared" si="3"/>
        <v>0</v>
      </c>
      <c r="O14" s="57">
        <v>0</v>
      </c>
      <c r="P14" s="44">
        <f t="shared" si="4"/>
        <v>0</v>
      </c>
      <c r="Q14">
        <v>0</v>
      </c>
      <c r="R14" s="44">
        <f>(Q14/B14)*100</f>
        <v>0</v>
      </c>
    </row>
    <row r="15" spans="1:18" x14ac:dyDescent="0.35">
      <c r="A15" s="56" t="s">
        <v>986</v>
      </c>
      <c r="B15" s="57">
        <v>69</v>
      </c>
      <c r="C15" s="57">
        <v>69</v>
      </c>
      <c r="D15" s="44">
        <f t="shared" si="0"/>
        <v>100</v>
      </c>
      <c r="E15" s="57">
        <v>65</v>
      </c>
      <c r="F15" s="44">
        <f t="shared" si="1"/>
        <v>94.20289855072464</v>
      </c>
      <c r="G15" s="6" t="s">
        <v>128</v>
      </c>
      <c r="H15" s="44" t="s">
        <v>128</v>
      </c>
      <c r="I15" s="6" t="s">
        <v>128</v>
      </c>
      <c r="J15" s="44" t="s">
        <v>128</v>
      </c>
      <c r="K15" s="6">
        <v>4</v>
      </c>
      <c r="L15" s="44">
        <f t="shared" si="2"/>
        <v>5.7971014492753623</v>
      </c>
      <c r="M15" s="57">
        <v>0</v>
      </c>
      <c r="N15" s="44">
        <f t="shared" si="3"/>
        <v>0</v>
      </c>
      <c r="O15" s="57">
        <v>0</v>
      </c>
      <c r="P15" s="44">
        <f t="shared" si="4"/>
        <v>0</v>
      </c>
      <c r="R15" s="44" t="s">
        <v>128</v>
      </c>
    </row>
    <row r="16" spans="1:18" x14ac:dyDescent="0.35">
      <c r="A16" s="56" t="s">
        <v>987</v>
      </c>
      <c r="B16" s="57">
        <v>35</v>
      </c>
      <c r="C16" s="57">
        <v>35</v>
      </c>
      <c r="D16" s="44">
        <f t="shared" si="0"/>
        <v>100</v>
      </c>
      <c r="E16" s="57">
        <v>32</v>
      </c>
      <c r="F16" s="44">
        <f t="shared" si="1"/>
        <v>91.428571428571431</v>
      </c>
      <c r="G16" s="58">
        <v>9</v>
      </c>
      <c r="H16" s="44">
        <f t="shared" si="5"/>
        <v>25.714285714285712</v>
      </c>
      <c r="I16" s="58">
        <v>0</v>
      </c>
      <c r="J16" s="44">
        <f t="shared" si="6"/>
        <v>0</v>
      </c>
      <c r="K16" s="6">
        <v>3</v>
      </c>
      <c r="L16" s="44">
        <f t="shared" si="2"/>
        <v>8.5714285714285712</v>
      </c>
      <c r="M16" s="57">
        <v>0</v>
      </c>
      <c r="N16" s="44">
        <f t="shared" si="3"/>
        <v>0</v>
      </c>
      <c r="O16" s="57">
        <v>0</v>
      </c>
      <c r="P16" s="44">
        <f t="shared" si="4"/>
        <v>0</v>
      </c>
      <c r="Q16">
        <v>0</v>
      </c>
      <c r="R16" s="44">
        <f>(Q16/B16)*100</f>
        <v>0</v>
      </c>
    </row>
    <row r="17" spans="1:18" x14ac:dyDescent="0.35">
      <c r="A17" s="56" t="s">
        <v>988</v>
      </c>
      <c r="B17" s="57">
        <v>30</v>
      </c>
      <c r="C17" s="57">
        <v>30</v>
      </c>
      <c r="D17" s="44">
        <f t="shared" si="0"/>
        <v>100</v>
      </c>
      <c r="E17" s="57">
        <v>22</v>
      </c>
      <c r="F17" s="44">
        <f t="shared" si="1"/>
        <v>73.333333333333329</v>
      </c>
      <c r="G17" s="58">
        <v>5</v>
      </c>
      <c r="H17" s="44">
        <f t="shared" si="5"/>
        <v>16.666666666666664</v>
      </c>
      <c r="I17" s="58">
        <v>1</v>
      </c>
      <c r="J17" s="44">
        <f t="shared" si="6"/>
        <v>3.3333333333333335</v>
      </c>
      <c r="K17" s="6">
        <v>2</v>
      </c>
      <c r="L17" s="44">
        <f t="shared" si="2"/>
        <v>6.666666666666667</v>
      </c>
      <c r="M17" s="57">
        <v>6</v>
      </c>
      <c r="N17" s="44">
        <f t="shared" si="3"/>
        <v>20</v>
      </c>
      <c r="O17" s="57">
        <v>0</v>
      </c>
      <c r="P17" s="44">
        <f t="shared" si="4"/>
        <v>0</v>
      </c>
      <c r="Q17">
        <v>0</v>
      </c>
      <c r="R17" s="44">
        <f>(Q17/B17)*100</f>
        <v>0</v>
      </c>
    </row>
    <row r="18" spans="1:18" x14ac:dyDescent="0.35">
      <c r="A18" s="56" t="s">
        <v>989</v>
      </c>
      <c r="B18" s="57">
        <v>5</v>
      </c>
      <c r="C18" s="57">
        <v>5</v>
      </c>
      <c r="D18" s="44">
        <f t="shared" si="0"/>
        <v>100</v>
      </c>
      <c r="E18" s="57">
        <v>4</v>
      </c>
      <c r="F18" s="44">
        <f t="shared" si="1"/>
        <v>80</v>
      </c>
      <c r="G18" s="58">
        <v>0</v>
      </c>
      <c r="H18" s="44">
        <f t="shared" si="5"/>
        <v>0</v>
      </c>
      <c r="I18" s="58">
        <v>0</v>
      </c>
      <c r="J18" s="44">
        <f t="shared" si="6"/>
        <v>0</v>
      </c>
      <c r="K18" s="6">
        <v>1</v>
      </c>
      <c r="L18" s="44">
        <f t="shared" si="2"/>
        <v>20</v>
      </c>
      <c r="M18" s="57">
        <v>0</v>
      </c>
      <c r="N18" s="44">
        <f t="shared" si="3"/>
        <v>0</v>
      </c>
      <c r="O18" s="57">
        <v>0</v>
      </c>
      <c r="P18" s="44">
        <f t="shared" si="4"/>
        <v>0</v>
      </c>
      <c r="Q18">
        <v>0</v>
      </c>
      <c r="R18" s="44">
        <f>(Q18/B18)*100</f>
        <v>0</v>
      </c>
    </row>
    <row r="19" spans="1:18" ht="15.65" customHeight="1" x14ac:dyDescent="0.35">
      <c r="A19" s="56" t="s">
        <v>990</v>
      </c>
      <c r="B19" s="57">
        <v>19</v>
      </c>
      <c r="C19" s="57">
        <v>17</v>
      </c>
      <c r="D19" s="44">
        <f t="shared" si="0"/>
        <v>89.473684210526315</v>
      </c>
      <c r="E19" s="57">
        <v>17</v>
      </c>
      <c r="F19" s="44">
        <f t="shared" si="1"/>
        <v>89.473684210526315</v>
      </c>
      <c r="G19" s="58">
        <v>1</v>
      </c>
      <c r="H19" s="44">
        <f t="shared" si="5"/>
        <v>5.2631578947368416</v>
      </c>
      <c r="I19" s="58">
        <v>0</v>
      </c>
      <c r="J19" s="44">
        <f t="shared" si="6"/>
        <v>0</v>
      </c>
      <c r="K19" s="6">
        <v>0</v>
      </c>
      <c r="L19" s="44">
        <f t="shared" si="2"/>
        <v>0</v>
      </c>
      <c r="M19" s="57">
        <v>0</v>
      </c>
      <c r="N19" s="44">
        <f t="shared" si="3"/>
        <v>0</v>
      </c>
      <c r="O19" s="57">
        <v>0</v>
      </c>
      <c r="P19" s="44">
        <f t="shared" si="4"/>
        <v>0</v>
      </c>
      <c r="Q19">
        <v>2</v>
      </c>
      <c r="R19" s="44">
        <f>(Q19/B19)*100</f>
        <v>10.526315789473683</v>
      </c>
    </row>
    <row r="20" spans="1:18" x14ac:dyDescent="0.35">
      <c r="A20" s="56" t="s">
        <v>137</v>
      </c>
      <c r="B20" s="57">
        <v>3</v>
      </c>
      <c r="C20" s="57">
        <v>3</v>
      </c>
      <c r="D20" s="44">
        <f t="shared" si="0"/>
        <v>100</v>
      </c>
      <c r="E20" s="57">
        <v>3</v>
      </c>
      <c r="F20" s="44">
        <f t="shared" si="1"/>
        <v>100</v>
      </c>
      <c r="G20" s="58" t="s">
        <v>119</v>
      </c>
      <c r="H20" s="44" t="s">
        <v>119</v>
      </c>
      <c r="I20" s="58" t="s">
        <v>119</v>
      </c>
      <c r="J20" s="44" t="s">
        <v>119</v>
      </c>
      <c r="K20" s="6">
        <v>0</v>
      </c>
      <c r="L20" s="44">
        <f t="shared" si="2"/>
        <v>0</v>
      </c>
      <c r="M20" s="57">
        <v>0</v>
      </c>
      <c r="N20" s="44">
        <f t="shared" si="3"/>
        <v>0</v>
      </c>
      <c r="O20" s="57">
        <v>0</v>
      </c>
      <c r="P20" s="44">
        <f t="shared" si="4"/>
        <v>0</v>
      </c>
      <c r="R20" s="44" t="s">
        <v>119</v>
      </c>
    </row>
    <row r="21" spans="1:18" x14ac:dyDescent="0.35">
      <c r="A21" s="56" t="s">
        <v>991</v>
      </c>
      <c r="B21" s="57">
        <v>61</v>
      </c>
      <c r="C21" s="57">
        <v>61</v>
      </c>
      <c r="D21" s="44">
        <f t="shared" si="0"/>
        <v>100</v>
      </c>
      <c r="E21" s="57">
        <v>55</v>
      </c>
      <c r="F21" s="44">
        <f t="shared" si="1"/>
        <v>90.163934426229503</v>
      </c>
      <c r="G21" s="58">
        <v>5</v>
      </c>
      <c r="H21" s="44">
        <f t="shared" si="5"/>
        <v>8.1967213114754092</v>
      </c>
      <c r="I21" s="58">
        <v>1</v>
      </c>
      <c r="J21" s="44">
        <f t="shared" si="6"/>
        <v>1.639344262295082</v>
      </c>
      <c r="K21" s="6">
        <v>5</v>
      </c>
      <c r="L21" s="44">
        <f t="shared" si="2"/>
        <v>8.1967213114754092</v>
      </c>
      <c r="M21" s="57">
        <v>1</v>
      </c>
      <c r="N21" s="44">
        <f t="shared" si="3"/>
        <v>1.639344262295082</v>
      </c>
      <c r="O21" s="57">
        <v>0</v>
      </c>
      <c r="P21" s="44">
        <f t="shared" si="4"/>
        <v>0</v>
      </c>
      <c r="Q21">
        <v>0</v>
      </c>
      <c r="R21" s="44">
        <f t="shared" ref="R21:R28" si="7">(Q21/B21)*100</f>
        <v>0</v>
      </c>
    </row>
    <row r="22" spans="1:18" x14ac:dyDescent="0.35">
      <c r="A22" s="56" t="s">
        <v>992</v>
      </c>
      <c r="B22" s="57">
        <v>113</v>
      </c>
      <c r="C22" s="57">
        <v>113</v>
      </c>
      <c r="D22" s="44">
        <f t="shared" si="0"/>
        <v>100</v>
      </c>
      <c r="E22" s="57">
        <v>99</v>
      </c>
      <c r="F22" s="44">
        <f t="shared" si="1"/>
        <v>87.610619469026545</v>
      </c>
      <c r="G22" s="58">
        <v>9</v>
      </c>
      <c r="H22" s="44">
        <f t="shared" si="5"/>
        <v>7.9646017699115044</v>
      </c>
      <c r="I22" s="58">
        <v>1</v>
      </c>
      <c r="J22" s="44">
        <f t="shared" si="6"/>
        <v>0.88495575221238942</v>
      </c>
      <c r="K22" s="6">
        <v>7</v>
      </c>
      <c r="L22" s="44">
        <f t="shared" si="2"/>
        <v>6.1946902654867255</v>
      </c>
      <c r="M22" s="57">
        <v>7</v>
      </c>
      <c r="N22" s="44">
        <f t="shared" si="3"/>
        <v>6.1946902654867255</v>
      </c>
      <c r="O22" s="57">
        <v>0</v>
      </c>
      <c r="P22" s="44">
        <f t="shared" si="4"/>
        <v>0</v>
      </c>
      <c r="Q22">
        <v>0</v>
      </c>
      <c r="R22" s="44">
        <f t="shared" si="7"/>
        <v>0</v>
      </c>
    </row>
    <row r="23" spans="1:18" x14ac:dyDescent="0.35">
      <c r="A23" s="56" t="s">
        <v>993</v>
      </c>
      <c r="B23" s="57">
        <v>38</v>
      </c>
      <c r="C23" s="57">
        <v>38</v>
      </c>
      <c r="D23" s="44">
        <f t="shared" si="0"/>
        <v>100</v>
      </c>
      <c r="E23" s="57">
        <v>34</v>
      </c>
      <c r="F23" s="44">
        <f t="shared" si="1"/>
        <v>89.473684210526315</v>
      </c>
      <c r="G23" s="58">
        <v>1</v>
      </c>
      <c r="H23" s="44">
        <f t="shared" si="5"/>
        <v>2.6315789473684208</v>
      </c>
      <c r="I23" s="58">
        <v>0</v>
      </c>
      <c r="J23" s="44">
        <f t="shared" si="6"/>
        <v>0</v>
      </c>
      <c r="K23" s="6">
        <v>3</v>
      </c>
      <c r="L23" s="44">
        <f t="shared" si="2"/>
        <v>7.8947368421052628</v>
      </c>
      <c r="M23" s="57">
        <v>1</v>
      </c>
      <c r="N23" s="44">
        <f t="shared" si="3"/>
        <v>2.6315789473684208</v>
      </c>
      <c r="O23" s="57">
        <v>0</v>
      </c>
      <c r="P23" s="44">
        <f t="shared" si="4"/>
        <v>0</v>
      </c>
      <c r="Q23">
        <v>0</v>
      </c>
      <c r="R23" s="44">
        <f t="shared" si="7"/>
        <v>0</v>
      </c>
    </row>
    <row r="24" spans="1:18" x14ac:dyDescent="0.35">
      <c r="A24" s="56" t="s">
        <v>994</v>
      </c>
      <c r="B24" s="57">
        <v>58</v>
      </c>
      <c r="C24" s="57">
        <v>58</v>
      </c>
      <c r="D24" s="44">
        <f t="shared" si="0"/>
        <v>100</v>
      </c>
      <c r="E24" s="57">
        <v>44</v>
      </c>
      <c r="F24" s="44">
        <f t="shared" si="1"/>
        <v>75.862068965517238</v>
      </c>
      <c r="G24" s="58">
        <v>16</v>
      </c>
      <c r="H24" s="44">
        <f t="shared" si="5"/>
        <v>27.586206896551722</v>
      </c>
      <c r="I24" s="58">
        <v>1</v>
      </c>
      <c r="J24" s="44">
        <f t="shared" si="6"/>
        <v>1.7241379310344827</v>
      </c>
      <c r="K24" s="6">
        <v>14</v>
      </c>
      <c r="L24" s="44">
        <f t="shared" si="2"/>
        <v>24.137931034482758</v>
      </c>
      <c r="M24" s="57">
        <v>0</v>
      </c>
      <c r="N24" s="44">
        <f t="shared" si="3"/>
        <v>0</v>
      </c>
      <c r="O24" s="57">
        <v>0</v>
      </c>
      <c r="P24" s="44">
        <f t="shared" si="4"/>
        <v>0</v>
      </c>
      <c r="Q24">
        <v>0</v>
      </c>
      <c r="R24" s="44">
        <f t="shared" si="7"/>
        <v>0</v>
      </c>
    </row>
    <row r="25" spans="1:18" x14ac:dyDescent="0.35">
      <c r="A25" s="56" t="s">
        <v>995</v>
      </c>
      <c r="B25" s="57">
        <v>59</v>
      </c>
      <c r="C25" s="57">
        <v>59</v>
      </c>
      <c r="D25" s="44">
        <f t="shared" si="0"/>
        <v>100</v>
      </c>
      <c r="E25" s="57">
        <v>53</v>
      </c>
      <c r="F25" s="44">
        <f t="shared" si="1"/>
        <v>89.830508474576277</v>
      </c>
      <c r="G25" s="58">
        <v>7</v>
      </c>
      <c r="H25" s="44">
        <f t="shared" si="5"/>
        <v>11.864406779661017</v>
      </c>
      <c r="I25" s="58">
        <v>1</v>
      </c>
      <c r="J25" s="44">
        <f t="shared" si="6"/>
        <v>1.6949152542372881</v>
      </c>
      <c r="K25" s="6">
        <v>4</v>
      </c>
      <c r="L25" s="44">
        <f t="shared" si="2"/>
        <v>6.7796610169491522</v>
      </c>
      <c r="M25" s="57">
        <v>2</v>
      </c>
      <c r="N25" s="44">
        <f t="shared" si="3"/>
        <v>3.3898305084745761</v>
      </c>
      <c r="O25" s="57">
        <v>0</v>
      </c>
      <c r="P25" s="44">
        <f t="shared" si="4"/>
        <v>0</v>
      </c>
      <c r="Q25">
        <v>0</v>
      </c>
      <c r="R25" s="44">
        <f t="shared" si="7"/>
        <v>0</v>
      </c>
    </row>
    <row r="26" spans="1:18" x14ac:dyDescent="0.35">
      <c r="A26" s="56" t="s">
        <v>996</v>
      </c>
      <c r="B26" s="57">
        <v>76</v>
      </c>
      <c r="C26" s="57">
        <v>76</v>
      </c>
      <c r="D26" s="44">
        <f t="shared" si="0"/>
        <v>100</v>
      </c>
      <c r="E26" s="57">
        <v>72</v>
      </c>
      <c r="F26" s="44">
        <f t="shared" si="1"/>
        <v>94.73684210526315</v>
      </c>
      <c r="G26" s="58">
        <v>2</v>
      </c>
      <c r="H26" s="44">
        <f t="shared" si="5"/>
        <v>2.6315789473684208</v>
      </c>
      <c r="I26" s="58">
        <v>1</v>
      </c>
      <c r="J26" s="44">
        <f t="shared" si="6"/>
        <v>1.3157894736842104</v>
      </c>
      <c r="K26" s="6">
        <v>1</v>
      </c>
      <c r="L26" s="44">
        <f t="shared" si="2"/>
        <v>1.3157894736842104</v>
      </c>
      <c r="M26" s="57">
        <v>3</v>
      </c>
      <c r="N26" s="44">
        <f t="shared" si="3"/>
        <v>3.9473684210526314</v>
      </c>
      <c r="O26" s="57">
        <v>0</v>
      </c>
      <c r="P26" s="44">
        <f t="shared" si="4"/>
        <v>0</v>
      </c>
      <c r="Q26">
        <v>0</v>
      </c>
      <c r="R26" s="44">
        <f t="shared" si="7"/>
        <v>0</v>
      </c>
    </row>
    <row r="27" spans="1:18" s="60" customFormat="1" ht="15" thickBot="1" x14ac:dyDescent="0.4">
      <c r="A27" s="25" t="s">
        <v>700</v>
      </c>
      <c r="B27" s="52">
        <v>48</v>
      </c>
      <c r="C27" s="52">
        <v>48</v>
      </c>
      <c r="D27" s="44">
        <f t="shared" si="0"/>
        <v>100</v>
      </c>
      <c r="E27" s="52">
        <v>35</v>
      </c>
      <c r="F27" s="44">
        <f t="shared" si="1"/>
        <v>72.916666666666657</v>
      </c>
      <c r="G27" s="59">
        <v>0</v>
      </c>
      <c r="H27" s="44">
        <f t="shared" si="5"/>
        <v>0</v>
      </c>
      <c r="I27" s="59">
        <v>0</v>
      </c>
      <c r="J27" s="44">
        <f t="shared" si="6"/>
        <v>0</v>
      </c>
      <c r="K27" s="6">
        <v>13</v>
      </c>
      <c r="L27" s="44">
        <f t="shared" si="2"/>
        <v>27.083333333333332</v>
      </c>
      <c r="M27" s="52">
        <v>0</v>
      </c>
      <c r="N27" s="44">
        <f t="shared" si="3"/>
        <v>0</v>
      </c>
      <c r="O27" s="52">
        <v>0</v>
      </c>
      <c r="P27" s="44">
        <f t="shared" si="4"/>
        <v>0</v>
      </c>
      <c r="Q27">
        <v>0</v>
      </c>
      <c r="R27" s="44">
        <f t="shared" si="7"/>
        <v>0</v>
      </c>
    </row>
    <row r="28" spans="1:18" ht="15" thickBot="1" x14ac:dyDescent="0.4">
      <c r="A28" s="80" t="s">
        <v>997</v>
      </c>
      <c r="B28" s="90">
        <f>SUM(B3:B27)</f>
        <v>1062</v>
      </c>
      <c r="C28" s="90">
        <f>SUM(C3:C27)</f>
        <v>1057</v>
      </c>
      <c r="D28" s="81">
        <f>(C28/B28)*100</f>
        <v>99.529190207156304</v>
      </c>
      <c r="E28" s="90">
        <f>SUM(E3:E27)</f>
        <v>918</v>
      </c>
      <c r="F28" s="81">
        <f>(E28/B28)*100</f>
        <v>86.440677966101703</v>
      </c>
      <c r="G28" s="90">
        <f>SUM(G5:G27)</f>
        <v>106</v>
      </c>
      <c r="H28" s="81">
        <f>(G28/B28)*100</f>
        <v>9.9811676082862526</v>
      </c>
      <c r="I28" s="90">
        <f>SUM(I5:I27)</f>
        <v>11</v>
      </c>
      <c r="J28" s="81">
        <f>(I28/B28)*100</f>
        <v>1.0357815442561207</v>
      </c>
      <c r="K28" s="90">
        <f>SUM(K3:K27)</f>
        <v>109</v>
      </c>
      <c r="L28" s="81">
        <f>(K28/B28)*100</f>
        <v>10.263653483992467</v>
      </c>
      <c r="M28" s="90">
        <f>SUM(M3:M27)</f>
        <v>30</v>
      </c>
      <c r="N28" s="81">
        <f>(M28/B28)*100</f>
        <v>2.8248587570621471</v>
      </c>
      <c r="O28" s="90">
        <f>SUM(O3:O27)</f>
        <v>0</v>
      </c>
      <c r="P28" s="81">
        <f>(O28/B28)*100</f>
        <v>0</v>
      </c>
      <c r="Q28" s="90">
        <f>SUM(Q5:Q27)</f>
        <v>4</v>
      </c>
      <c r="R28" s="81">
        <f t="shared" si="7"/>
        <v>0.37664783427495291</v>
      </c>
    </row>
    <row r="29" spans="1:18" x14ac:dyDescent="0.35">
      <c r="A29" s="25" t="s">
        <v>169</v>
      </c>
      <c r="B29" s="57">
        <v>1</v>
      </c>
      <c r="C29" s="57">
        <v>1</v>
      </c>
      <c r="D29" s="44">
        <f t="shared" si="0"/>
        <v>100</v>
      </c>
      <c r="E29" s="57">
        <v>0</v>
      </c>
      <c r="F29" s="44">
        <f t="shared" si="1"/>
        <v>0</v>
      </c>
      <c r="G29" s="61" t="s">
        <v>128</v>
      </c>
      <c r="H29" s="62" t="s">
        <v>128</v>
      </c>
      <c r="I29" s="61" t="s">
        <v>128</v>
      </c>
      <c r="J29" s="62" t="s">
        <v>128</v>
      </c>
      <c r="K29" s="57">
        <v>1</v>
      </c>
      <c r="L29" s="44">
        <f t="shared" ref="L29:L32" si="8">(K29/B29)*100</f>
        <v>100</v>
      </c>
      <c r="M29" s="57">
        <v>0</v>
      </c>
      <c r="N29" s="44">
        <f t="shared" si="3"/>
        <v>0</v>
      </c>
      <c r="O29" s="57">
        <v>0</v>
      </c>
      <c r="P29" s="44">
        <f t="shared" si="4"/>
        <v>0</v>
      </c>
      <c r="Q29" s="61" t="s">
        <v>128</v>
      </c>
      <c r="R29" s="62" t="s">
        <v>128</v>
      </c>
    </row>
    <row r="30" spans="1:18" ht="15" thickBot="1" x14ac:dyDescent="0.4">
      <c r="A30" t="s">
        <v>150</v>
      </c>
      <c r="B30" s="58">
        <v>64</v>
      </c>
      <c r="C30" s="57">
        <v>64</v>
      </c>
      <c r="D30" s="44">
        <f t="shared" si="0"/>
        <v>100</v>
      </c>
      <c r="E30" s="57">
        <v>43</v>
      </c>
      <c r="F30" s="44">
        <f>(E30/B30)*100</f>
        <v>67.1875</v>
      </c>
      <c r="G30" s="58">
        <v>7</v>
      </c>
      <c r="H30" s="44">
        <f>(G30/B30)*100</f>
        <v>10.9375</v>
      </c>
      <c r="I30" s="6">
        <v>0</v>
      </c>
      <c r="J30" s="44">
        <f t="shared" ref="J30" si="9">(I30/B30)*100</f>
        <v>0</v>
      </c>
      <c r="K30" s="57">
        <v>16</v>
      </c>
      <c r="L30" s="44">
        <f t="shared" si="8"/>
        <v>25</v>
      </c>
      <c r="M30" s="57">
        <v>5</v>
      </c>
      <c r="N30" s="44">
        <f t="shared" si="3"/>
        <v>7.8125</v>
      </c>
      <c r="O30" s="57">
        <v>0</v>
      </c>
      <c r="P30" s="44">
        <f t="shared" si="4"/>
        <v>0</v>
      </c>
      <c r="Q30" s="6">
        <v>0</v>
      </c>
      <c r="R30" s="44">
        <f>(Q30/B30)*100</f>
        <v>0</v>
      </c>
    </row>
    <row r="31" spans="1:18" ht="15" thickBot="1" x14ac:dyDescent="0.4">
      <c r="A31" s="72" t="s">
        <v>173</v>
      </c>
      <c r="B31" s="73">
        <f>SUM(B29:B30)</f>
        <v>65</v>
      </c>
      <c r="C31" s="73">
        <f>SUM(C29:C30)</f>
        <v>65</v>
      </c>
      <c r="D31" s="74">
        <f>(C31/B31)*100</f>
        <v>100</v>
      </c>
      <c r="E31" s="73">
        <f>SUM(E29:E30)</f>
        <v>43</v>
      </c>
      <c r="F31" s="74">
        <f t="shared" ref="F31:F32" si="10">(E31/B31)*100</f>
        <v>66.153846153846146</v>
      </c>
      <c r="G31" s="73">
        <f>SUM(G29:G30)</f>
        <v>7</v>
      </c>
      <c r="H31" s="74">
        <f>(G31/B31)*100</f>
        <v>10.76923076923077</v>
      </c>
      <c r="I31" s="73">
        <f>SUM(I29:I30)</f>
        <v>0</v>
      </c>
      <c r="J31" s="74">
        <f>(I31/B31)*100</f>
        <v>0</v>
      </c>
      <c r="K31" s="73">
        <f>SUM(K29:K30)</f>
        <v>17</v>
      </c>
      <c r="L31" s="74">
        <f t="shared" si="8"/>
        <v>26.153846153846157</v>
      </c>
      <c r="M31" s="73">
        <f>SUM(M29:M30)</f>
        <v>5</v>
      </c>
      <c r="N31" s="74">
        <f t="shared" si="3"/>
        <v>7.6923076923076925</v>
      </c>
      <c r="O31" s="73">
        <f>SUM(O29:O30)</f>
        <v>0</v>
      </c>
      <c r="P31" s="74">
        <f t="shared" si="4"/>
        <v>0</v>
      </c>
      <c r="Q31" s="73">
        <f>SUM(Q29:Q30)</f>
        <v>0</v>
      </c>
      <c r="R31" s="74">
        <f>(Q31/B31)*100</f>
        <v>0</v>
      </c>
    </row>
    <row r="32" spans="1:18" ht="15" thickBot="1" x14ac:dyDescent="0.4">
      <c r="A32" s="86" t="s">
        <v>998</v>
      </c>
      <c r="B32" s="73">
        <f>SUM(B28,B31)</f>
        <v>1127</v>
      </c>
      <c r="C32" s="73">
        <f>SUM(C28,C31)</f>
        <v>1122</v>
      </c>
      <c r="D32" s="74">
        <f t="shared" ref="D32" si="11">(C32/B32)*100</f>
        <v>99.556344276841173</v>
      </c>
      <c r="E32" s="73">
        <f>SUM(E28,E31)</f>
        <v>961</v>
      </c>
      <c r="F32" s="74">
        <f t="shared" si="10"/>
        <v>85.270629991126896</v>
      </c>
      <c r="G32" s="73">
        <f>SUM(G28,G31)</f>
        <v>113</v>
      </c>
      <c r="H32" s="74">
        <f>(G32/B32)*100</f>
        <v>10.02661934338953</v>
      </c>
      <c r="I32" s="76">
        <f>SUM(I28,I31)</f>
        <v>11</v>
      </c>
      <c r="J32" s="74">
        <f>(I32/B32)*100</f>
        <v>0.97604259094942325</v>
      </c>
      <c r="K32" s="73">
        <f>SUM(K28,K31)</f>
        <v>126</v>
      </c>
      <c r="L32" s="74">
        <f t="shared" si="8"/>
        <v>11.180124223602485</v>
      </c>
      <c r="M32" s="73">
        <f>SUM(M28,M31)</f>
        <v>35</v>
      </c>
      <c r="N32" s="74">
        <f t="shared" si="3"/>
        <v>3.1055900621118013</v>
      </c>
      <c r="O32" s="73">
        <f>SUM(O28,O31)</f>
        <v>0</v>
      </c>
      <c r="P32" s="74">
        <f t="shared" si="4"/>
        <v>0</v>
      </c>
      <c r="Q32" s="76">
        <f>SUM(Q28,Q31)</f>
        <v>4</v>
      </c>
      <c r="R32" s="74">
        <f>(Q32/B32)*100</f>
        <v>0.35492457852706299</v>
      </c>
    </row>
    <row r="34" spans="1:1" x14ac:dyDescent="0.35">
      <c r="A34" t="s">
        <v>970</v>
      </c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1">
    <tabColor theme="9" tint="0.59999389629810485"/>
  </sheetPr>
  <dimension ref="A1:R34"/>
  <sheetViews>
    <sheetView zoomScale="80" zoomScaleNormal="80" workbookViewId="0">
      <pane ySplit="2" topLeftCell="A3" activePane="bottomLeft" state="frozen"/>
      <selection pane="bottomLeft" activeCell="B3" sqref="B3"/>
    </sheetView>
  </sheetViews>
  <sheetFormatPr defaultColWidth="10.6328125" defaultRowHeight="14.5" x14ac:dyDescent="0.35"/>
  <cols>
    <col min="1" max="1" width="32.54296875" style="42" customWidth="1"/>
    <col min="2" max="2" width="10.6328125" style="42"/>
    <col min="3" max="18" width="12.81640625" style="42" customWidth="1"/>
    <col min="19" max="16384" width="10.6328125" style="42"/>
  </cols>
  <sheetData>
    <row r="1" spans="1:18" ht="17" thickBot="1" x14ac:dyDescent="0.4">
      <c r="A1" s="242" t="s">
        <v>108</v>
      </c>
      <c r="B1" s="242" t="s">
        <v>87</v>
      </c>
      <c r="C1" s="231" t="s">
        <v>109</v>
      </c>
      <c r="D1" s="231"/>
      <c r="E1" s="231" t="s">
        <v>160</v>
      </c>
      <c r="F1" s="231"/>
      <c r="G1" s="231" t="s">
        <v>161</v>
      </c>
      <c r="H1" s="231"/>
      <c r="I1" s="231" t="s">
        <v>162</v>
      </c>
      <c r="J1" s="231"/>
      <c r="K1" s="231" t="s">
        <v>163</v>
      </c>
      <c r="L1" s="231"/>
      <c r="M1" s="231" t="s">
        <v>164</v>
      </c>
      <c r="N1" s="231"/>
      <c r="O1" s="231" t="s">
        <v>165</v>
      </c>
      <c r="P1" s="231"/>
      <c r="Q1" s="264" t="s">
        <v>1020</v>
      </c>
      <c r="R1" s="264"/>
    </row>
    <row r="2" spans="1:18" ht="15" thickBot="1" x14ac:dyDescent="0.4">
      <c r="A2" s="231"/>
      <c r="B2" s="231"/>
      <c r="C2" s="85" t="s">
        <v>83</v>
      </c>
      <c r="D2" s="85" t="s">
        <v>94</v>
      </c>
      <c r="E2" s="85" t="s">
        <v>83</v>
      </c>
      <c r="F2" s="85" t="s">
        <v>94</v>
      </c>
      <c r="G2" s="85" t="s">
        <v>83</v>
      </c>
      <c r="H2" s="85" t="s">
        <v>94</v>
      </c>
      <c r="I2" s="85" t="s">
        <v>83</v>
      </c>
      <c r="J2" s="85" t="s">
        <v>94</v>
      </c>
      <c r="K2" s="85" t="s">
        <v>83</v>
      </c>
      <c r="L2" s="85" t="s">
        <v>94</v>
      </c>
      <c r="M2" s="85" t="s">
        <v>83</v>
      </c>
      <c r="N2" s="85" t="s">
        <v>94</v>
      </c>
      <c r="O2" s="85" t="s">
        <v>83</v>
      </c>
      <c r="P2" s="85" t="s">
        <v>94</v>
      </c>
      <c r="Q2" s="85" t="s">
        <v>83</v>
      </c>
      <c r="R2" s="85" t="s">
        <v>94</v>
      </c>
    </row>
    <row r="3" spans="1:18" x14ac:dyDescent="0.35">
      <c r="A3" s="42" t="s">
        <v>177</v>
      </c>
      <c r="B3" s="43">
        <v>15</v>
      </c>
      <c r="C3" s="43">
        <v>15</v>
      </c>
      <c r="D3" s="44">
        <f>(C3/B3)*100</f>
        <v>100</v>
      </c>
      <c r="E3" s="43">
        <v>14</v>
      </c>
      <c r="F3" s="44">
        <f>(E3/B3)*100</f>
        <v>93.333333333333329</v>
      </c>
      <c r="G3" s="6" t="s">
        <v>128</v>
      </c>
      <c r="H3" s="6" t="s">
        <v>128</v>
      </c>
      <c r="I3" s="6" t="s">
        <v>128</v>
      </c>
      <c r="J3" s="6" t="s">
        <v>128</v>
      </c>
      <c r="K3" s="43">
        <v>1</v>
      </c>
      <c r="L3" s="44">
        <f>(K3/B3)*100</f>
        <v>6.666666666666667</v>
      </c>
      <c r="M3" s="43">
        <v>0</v>
      </c>
      <c r="N3" s="44">
        <f>(M3/B3)*100</f>
        <v>0</v>
      </c>
      <c r="O3" s="43">
        <v>0</v>
      </c>
      <c r="P3" s="44">
        <f>(O3/B3)*100</f>
        <v>0</v>
      </c>
      <c r="Q3" s="6" t="s">
        <v>128</v>
      </c>
      <c r="R3" s="6" t="s">
        <v>128</v>
      </c>
    </row>
    <row r="4" spans="1:18" x14ac:dyDescent="0.35">
      <c r="A4" s="42" t="s">
        <v>183</v>
      </c>
      <c r="B4" s="43">
        <v>6</v>
      </c>
      <c r="C4" s="43">
        <v>6</v>
      </c>
      <c r="D4" s="44">
        <f t="shared" ref="D4:D29" si="0">(C4/B4)*100</f>
        <v>100</v>
      </c>
      <c r="E4" s="43">
        <v>4</v>
      </c>
      <c r="F4" s="44">
        <f t="shared" ref="F4:F29" si="1">(E4/B4)*100</f>
        <v>66.666666666666657</v>
      </c>
      <c r="G4" s="6" t="s">
        <v>128</v>
      </c>
      <c r="H4" s="6" t="s">
        <v>128</v>
      </c>
      <c r="I4" s="6" t="s">
        <v>128</v>
      </c>
      <c r="J4" s="6" t="s">
        <v>128</v>
      </c>
      <c r="K4" s="43">
        <v>2</v>
      </c>
      <c r="L4" s="44">
        <f t="shared" ref="L4:L29" si="2">(K4/B4)*100</f>
        <v>33.333333333333329</v>
      </c>
      <c r="M4" s="43">
        <v>0</v>
      </c>
      <c r="N4" s="44">
        <f t="shared" ref="N4:N29" si="3">(M4/B4)*100</f>
        <v>0</v>
      </c>
      <c r="O4" s="43">
        <v>0</v>
      </c>
      <c r="P4" s="44">
        <f t="shared" ref="P4:P29" si="4">(O4/B4)*100</f>
        <v>0</v>
      </c>
      <c r="Q4" s="6" t="s">
        <v>128</v>
      </c>
      <c r="R4" s="6" t="s">
        <v>128</v>
      </c>
    </row>
    <row r="5" spans="1:18" x14ac:dyDescent="0.35">
      <c r="A5" s="42" t="s">
        <v>118</v>
      </c>
      <c r="B5" s="43">
        <v>12</v>
      </c>
      <c r="C5" s="43">
        <v>12</v>
      </c>
      <c r="D5" s="44">
        <f t="shared" si="0"/>
        <v>100</v>
      </c>
      <c r="E5" s="43">
        <v>10</v>
      </c>
      <c r="F5" s="44">
        <f t="shared" si="1"/>
        <v>83.333333333333343</v>
      </c>
      <c r="G5" s="6">
        <v>7</v>
      </c>
      <c r="H5" s="44">
        <f>(G5/B5)*100</f>
        <v>58.333333333333336</v>
      </c>
      <c r="I5" s="6">
        <v>0</v>
      </c>
      <c r="J5" s="44">
        <f>(I5/B5)*100</f>
        <v>0</v>
      </c>
      <c r="K5" s="43">
        <v>0</v>
      </c>
      <c r="L5" s="44">
        <f t="shared" si="2"/>
        <v>0</v>
      </c>
      <c r="M5" s="43">
        <v>2</v>
      </c>
      <c r="N5" s="44">
        <f t="shared" si="3"/>
        <v>16.666666666666664</v>
      </c>
      <c r="O5" s="43">
        <v>0</v>
      </c>
      <c r="P5" s="44">
        <f t="shared" si="4"/>
        <v>0</v>
      </c>
      <c r="Q5" s="6">
        <v>0</v>
      </c>
      <c r="R5" s="44">
        <f>(Q5/B5)*100</f>
        <v>0</v>
      </c>
    </row>
    <row r="6" spans="1:18" x14ac:dyDescent="0.35">
      <c r="A6" s="42" t="s">
        <v>120</v>
      </c>
      <c r="B6" s="43">
        <v>6</v>
      </c>
      <c r="C6" s="43">
        <v>6</v>
      </c>
      <c r="D6" s="44">
        <f t="shared" si="0"/>
        <v>100</v>
      </c>
      <c r="E6" s="43">
        <v>6</v>
      </c>
      <c r="F6" s="44">
        <f t="shared" si="1"/>
        <v>100</v>
      </c>
      <c r="G6" s="6">
        <v>0</v>
      </c>
      <c r="H6" s="44">
        <f t="shared" ref="H6:H26" si="5">(G6/B6)*100</f>
        <v>0</v>
      </c>
      <c r="I6" s="6">
        <v>0</v>
      </c>
      <c r="J6" s="44">
        <f t="shared" ref="J6:J26" si="6">(I6/B6)*100</f>
        <v>0</v>
      </c>
      <c r="K6" s="43">
        <v>0</v>
      </c>
      <c r="L6" s="44">
        <f t="shared" si="2"/>
        <v>0</v>
      </c>
      <c r="M6" s="43">
        <v>0</v>
      </c>
      <c r="N6" s="44">
        <f t="shared" si="3"/>
        <v>0</v>
      </c>
      <c r="O6" s="43">
        <v>0</v>
      </c>
      <c r="P6" s="44">
        <f t="shared" si="4"/>
        <v>0</v>
      </c>
      <c r="Q6" s="6">
        <v>0</v>
      </c>
      <c r="R6" s="44">
        <f>(Q6/B6)*100</f>
        <v>0</v>
      </c>
    </row>
    <row r="7" spans="1:18" x14ac:dyDescent="0.35">
      <c r="A7" s="42" t="s">
        <v>204</v>
      </c>
      <c r="B7" s="43">
        <v>26</v>
      </c>
      <c r="C7" s="43">
        <v>26</v>
      </c>
      <c r="D7" s="44">
        <f t="shared" si="0"/>
        <v>100</v>
      </c>
      <c r="E7" s="43">
        <v>17</v>
      </c>
      <c r="F7" s="44">
        <f t="shared" si="1"/>
        <v>65.384615384615387</v>
      </c>
      <c r="G7" s="6" t="s">
        <v>128</v>
      </c>
      <c r="H7" s="6" t="s">
        <v>128</v>
      </c>
      <c r="I7" s="6" t="s">
        <v>128</v>
      </c>
      <c r="J7" s="44" t="s">
        <v>128</v>
      </c>
      <c r="K7" s="43">
        <v>9</v>
      </c>
      <c r="L7" s="44">
        <f t="shared" si="2"/>
        <v>34.615384615384613</v>
      </c>
      <c r="M7" s="43">
        <v>0</v>
      </c>
      <c r="N7" s="44">
        <f t="shared" si="3"/>
        <v>0</v>
      </c>
      <c r="O7" s="43">
        <v>0</v>
      </c>
      <c r="P7" s="44">
        <f t="shared" si="4"/>
        <v>0</v>
      </c>
      <c r="Q7" s="6" t="s">
        <v>128</v>
      </c>
      <c r="R7" s="44" t="s">
        <v>128</v>
      </c>
    </row>
    <row r="8" spans="1:18" x14ac:dyDescent="0.35">
      <c r="A8" s="42" t="s">
        <v>123</v>
      </c>
      <c r="B8" s="43">
        <v>14</v>
      </c>
      <c r="C8" s="43">
        <v>14</v>
      </c>
      <c r="D8" s="44">
        <f t="shared" si="0"/>
        <v>100</v>
      </c>
      <c r="E8" s="43">
        <v>9</v>
      </c>
      <c r="F8" s="44">
        <f t="shared" si="1"/>
        <v>64.285714285714292</v>
      </c>
      <c r="G8" s="6">
        <v>0</v>
      </c>
      <c r="H8" s="44">
        <f t="shared" si="5"/>
        <v>0</v>
      </c>
      <c r="I8" s="6">
        <v>0</v>
      </c>
      <c r="J8" s="44">
        <f t="shared" si="6"/>
        <v>0</v>
      </c>
      <c r="K8" s="43">
        <v>4</v>
      </c>
      <c r="L8" s="44">
        <f t="shared" si="2"/>
        <v>28.571428571428569</v>
      </c>
      <c r="M8" s="43">
        <v>1</v>
      </c>
      <c r="N8" s="44">
        <f t="shared" si="3"/>
        <v>7.1428571428571423</v>
      </c>
      <c r="O8" s="43">
        <v>0</v>
      </c>
      <c r="P8" s="44">
        <f t="shared" si="4"/>
        <v>0</v>
      </c>
      <c r="Q8" s="6">
        <v>0</v>
      </c>
      <c r="R8" s="44">
        <f>(Q8/B8)*100</f>
        <v>0</v>
      </c>
    </row>
    <row r="9" spans="1:18" x14ac:dyDescent="0.35">
      <c r="A9" s="42" t="s">
        <v>124</v>
      </c>
      <c r="B9" s="43">
        <v>10</v>
      </c>
      <c r="C9" s="43">
        <v>10</v>
      </c>
      <c r="D9" s="44">
        <f t="shared" si="0"/>
        <v>100</v>
      </c>
      <c r="E9" s="43">
        <v>8</v>
      </c>
      <c r="F9" s="44">
        <f t="shared" si="1"/>
        <v>80</v>
      </c>
      <c r="G9" s="6">
        <v>4</v>
      </c>
      <c r="H9" s="44">
        <f t="shared" si="5"/>
        <v>40</v>
      </c>
      <c r="I9" s="6">
        <v>0</v>
      </c>
      <c r="J9" s="44">
        <f t="shared" si="6"/>
        <v>0</v>
      </c>
      <c r="K9" s="43">
        <v>2</v>
      </c>
      <c r="L9" s="44">
        <f t="shared" si="2"/>
        <v>20</v>
      </c>
      <c r="M9" s="43">
        <v>0</v>
      </c>
      <c r="N9" s="44">
        <f t="shared" si="3"/>
        <v>0</v>
      </c>
      <c r="O9" s="43">
        <v>0</v>
      </c>
      <c r="P9" s="44">
        <f t="shared" si="4"/>
        <v>0</v>
      </c>
      <c r="Q9" s="6">
        <v>0</v>
      </c>
      <c r="R9" s="44">
        <f>(Q9/B9)*100</f>
        <v>0</v>
      </c>
    </row>
    <row r="10" spans="1:18" x14ac:dyDescent="0.35">
      <c r="A10" s="42" t="s">
        <v>126</v>
      </c>
      <c r="B10" s="43">
        <v>2</v>
      </c>
      <c r="C10" s="43">
        <v>2</v>
      </c>
      <c r="D10" s="44">
        <f t="shared" si="0"/>
        <v>100</v>
      </c>
      <c r="E10" s="43">
        <v>1</v>
      </c>
      <c r="F10" s="44">
        <f t="shared" si="1"/>
        <v>50</v>
      </c>
      <c r="G10" s="6">
        <v>0</v>
      </c>
      <c r="H10" s="44">
        <f t="shared" si="5"/>
        <v>0</v>
      </c>
      <c r="I10" s="6">
        <v>0</v>
      </c>
      <c r="J10" s="44">
        <f t="shared" si="6"/>
        <v>0</v>
      </c>
      <c r="K10" s="43">
        <v>1</v>
      </c>
      <c r="L10" s="44">
        <f t="shared" si="2"/>
        <v>50</v>
      </c>
      <c r="M10" s="43">
        <v>0</v>
      </c>
      <c r="N10" s="44">
        <f t="shared" si="3"/>
        <v>0</v>
      </c>
      <c r="O10" s="43">
        <v>0</v>
      </c>
      <c r="P10" s="44">
        <f t="shared" si="4"/>
        <v>0</v>
      </c>
      <c r="Q10" s="6">
        <v>0</v>
      </c>
      <c r="R10" s="44">
        <f>(Q10/B10)*100</f>
        <v>0</v>
      </c>
    </row>
    <row r="11" spans="1:18" x14ac:dyDescent="0.35">
      <c r="A11" s="42" t="s">
        <v>127</v>
      </c>
      <c r="B11" s="43">
        <v>12</v>
      </c>
      <c r="C11" s="43">
        <v>12</v>
      </c>
      <c r="D11" s="44">
        <f t="shared" si="0"/>
        <v>100</v>
      </c>
      <c r="E11" s="43">
        <v>11</v>
      </c>
      <c r="F11" s="44">
        <f t="shared" si="1"/>
        <v>91.666666666666657</v>
      </c>
      <c r="G11" s="6" t="s">
        <v>128</v>
      </c>
      <c r="H11" s="6" t="s">
        <v>128</v>
      </c>
      <c r="I11" s="6" t="s">
        <v>128</v>
      </c>
      <c r="J11" s="44" t="s">
        <v>128</v>
      </c>
      <c r="K11" s="43">
        <v>1</v>
      </c>
      <c r="L11" s="44">
        <f t="shared" si="2"/>
        <v>8.3333333333333321</v>
      </c>
      <c r="M11" s="43">
        <v>0</v>
      </c>
      <c r="N11" s="44">
        <f t="shared" si="3"/>
        <v>0</v>
      </c>
      <c r="O11" s="43">
        <v>0</v>
      </c>
      <c r="P11" s="44">
        <f t="shared" si="4"/>
        <v>0</v>
      </c>
      <c r="Q11" s="6" t="s">
        <v>128</v>
      </c>
      <c r="R11" s="44" t="s">
        <v>128</v>
      </c>
    </row>
    <row r="12" spans="1:18" x14ac:dyDescent="0.35">
      <c r="A12" s="42" t="s">
        <v>129</v>
      </c>
      <c r="B12" s="43">
        <v>1</v>
      </c>
      <c r="C12" s="43">
        <v>1</v>
      </c>
      <c r="D12" s="44">
        <f t="shared" si="0"/>
        <v>100</v>
      </c>
      <c r="E12" s="43">
        <v>1</v>
      </c>
      <c r="F12" s="44">
        <f t="shared" si="1"/>
        <v>100</v>
      </c>
      <c r="G12" s="6">
        <v>0</v>
      </c>
      <c r="H12" s="44">
        <f t="shared" si="5"/>
        <v>0</v>
      </c>
      <c r="I12" s="6">
        <v>0</v>
      </c>
      <c r="J12" s="44">
        <f t="shared" si="6"/>
        <v>0</v>
      </c>
      <c r="K12" s="43">
        <v>0</v>
      </c>
      <c r="L12" s="44">
        <f t="shared" si="2"/>
        <v>0</v>
      </c>
      <c r="M12" s="43">
        <v>0</v>
      </c>
      <c r="N12" s="44">
        <f t="shared" si="3"/>
        <v>0</v>
      </c>
      <c r="O12" s="43">
        <v>0</v>
      </c>
      <c r="P12" s="44">
        <f t="shared" si="4"/>
        <v>0</v>
      </c>
      <c r="Q12" s="6">
        <v>0</v>
      </c>
      <c r="R12" s="44">
        <f>(Q12/B12)*100</f>
        <v>0</v>
      </c>
    </row>
    <row r="13" spans="1:18" x14ac:dyDescent="0.35">
      <c r="A13" s="42" t="s">
        <v>130</v>
      </c>
      <c r="B13" s="43">
        <v>26</v>
      </c>
      <c r="C13" s="43">
        <v>26</v>
      </c>
      <c r="D13" s="44">
        <f t="shared" si="0"/>
        <v>100</v>
      </c>
      <c r="E13" s="43">
        <v>23</v>
      </c>
      <c r="F13" s="44">
        <f t="shared" si="1"/>
        <v>88.461538461538453</v>
      </c>
      <c r="G13" s="6">
        <v>6</v>
      </c>
      <c r="H13" s="44">
        <f t="shared" si="5"/>
        <v>23.076923076923077</v>
      </c>
      <c r="I13" s="6">
        <v>0</v>
      </c>
      <c r="J13" s="44">
        <f t="shared" si="6"/>
        <v>0</v>
      </c>
      <c r="K13" s="43">
        <v>3</v>
      </c>
      <c r="L13" s="44">
        <f t="shared" si="2"/>
        <v>11.538461538461538</v>
      </c>
      <c r="M13" s="43">
        <v>0</v>
      </c>
      <c r="N13" s="44">
        <f t="shared" si="3"/>
        <v>0</v>
      </c>
      <c r="O13" s="43">
        <v>0</v>
      </c>
      <c r="P13" s="44">
        <f t="shared" si="4"/>
        <v>0</v>
      </c>
      <c r="Q13" s="6">
        <v>0</v>
      </c>
      <c r="R13" s="44">
        <f>(Q13/B13)*100</f>
        <v>0</v>
      </c>
    </row>
    <row r="14" spans="1:18" x14ac:dyDescent="0.35">
      <c r="A14" s="42" t="s">
        <v>131</v>
      </c>
      <c r="B14" s="43">
        <v>12</v>
      </c>
      <c r="C14" s="43">
        <v>12</v>
      </c>
      <c r="D14" s="44">
        <f t="shared" si="0"/>
        <v>100</v>
      </c>
      <c r="E14" s="43">
        <v>3</v>
      </c>
      <c r="F14" s="44">
        <f t="shared" si="1"/>
        <v>25</v>
      </c>
      <c r="G14" s="6">
        <v>1</v>
      </c>
      <c r="H14" s="44">
        <f t="shared" si="5"/>
        <v>8.3333333333333321</v>
      </c>
      <c r="I14" s="6">
        <v>1</v>
      </c>
      <c r="J14" s="44">
        <f t="shared" si="6"/>
        <v>8.3333333333333321</v>
      </c>
      <c r="K14" s="43">
        <v>9</v>
      </c>
      <c r="L14" s="44">
        <f t="shared" si="2"/>
        <v>75</v>
      </c>
      <c r="M14" s="43">
        <v>0</v>
      </c>
      <c r="N14" s="44">
        <f t="shared" si="3"/>
        <v>0</v>
      </c>
      <c r="O14" s="43">
        <v>0</v>
      </c>
      <c r="P14" s="44">
        <f t="shared" si="4"/>
        <v>0</v>
      </c>
      <c r="Q14" s="6">
        <v>0</v>
      </c>
      <c r="R14" s="44">
        <f t="shared" ref="R14" si="7">(Q14/J14)*100</f>
        <v>0</v>
      </c>
    </row>
    <row r="15" spans="1:18" x14ac:dyDescent="0.35">
      <c r="A15" s="42" t="s">
        <v>157</v>
      </c>
      <c r="B15" s="43">
        <v>19</v>
      </c>
      <c r="C15" s="43">
        <v>19</v>
      </c>
      <c r="D15" s="44">
        <f t="shared" si="0"/>
        <v>100</v>
      </c>
      <c r="E15" s="43">
        <v>16</v>
      </c>
      <c r="F15" s="44">
        <f t="shared" si="1"/>
        <v>84.210526315789465</v>
      </c>
      <c r="G15" s="6" t="s">
        <v>128</v>
      </c>
      <c r="H15" s="6" t="s">
        <v>128</v>
      </c>
      <c r="I15" s="6" t="s">
        <v>128</v>
      </c>
      <c r="J15" s="44" t="s">
        <v>128</v>
      </c>
      <c r="K15" s="43">
        <v>3</v>
      </c>
      <c r="L15" s="44">
        <f t="shared" si="2"/>
        <v>15.789473684210526</v>
      </c>
      <c r="M15" s="43">
        <v>0</v>
      </c>
      <c r="N15" s="44">
        <f t="shared" si="3"/>
        <v>0</v>
      </c>
      <c r="O15" s="43">
        <v>0</v>
      </c>
      <c r="P15" s="44">
        <f t="shared" si="4"/>
        <v>0</v>
      </c>
      <c r="Q15" s="6" t="s">
        <v>128</v>
      </c>
      <c r="R15" s="44" t="s">
        <v>128</v>
      </c>
    </row>
    <row r="16" spans="1:18" x14ac:dyDescent="0.35">
      <c r="A16" s="42" t="s">
        <v>133</v>
      </c>
      <c r="B16" s="43">
        <v>19</v>
      </c>
      <c r="C16" s="43">
        <v>19</v>
      </c>
      <c r="D16" s="44">
        <f t="shared" si="0"/>
        <v>100</v>
      </c>
      <c r="E16" s="43">
        <v>16</v>
      </c>
      <c r="F16" s="44">
        <f t="shared" si="1"/>
        <v>84.210526315789465</v>
      </c>
      <c r="G16" s="6">
        <v>5</v>
      </c>
      <c r="H16" s="44">
        <f t="shared" si="5"/>
        <v>26.315789473684209</v>
      </c>
      <c r="I16" s="6">
        <v>0</v>
      </c>
      <c r="J16" s="44">
        <f t="shared" si="6"/>
        <v>0</v>
      </c>
      <c r="K16" s="43">
        <v>3</v>
      </c>
      <c r="L16" s="44">
        <f t="shared" si="2"/>
        <v>15.789473684210526</v>
      </c>
      <c r="M16" s="43">
        <v>0</v>
      </c>
      <c r="N16" s="44">
        <f t="shared" si="3"/>
        <v>0</v>
      </c>
      <c r="O16" s="43">
        <v>0</v>
      </c>
      <c r="P16" s="44">
        <f t="shared" si="4"/>
        <v>0</v>
      </c>
      <c r="Q16" s="6">
        <v>0</v>
      </c>
      <c r="R16" s="44">
        <f>(Q16/B16)*100</f>
        <v>0</v>
      </c>
    </row>
    <row r="17" spans="1:18" x14ac:dyDescent="0.35">
      <c r="A17" s="42" t="s">
        <v>134</v>
      </c>
      <c r="B17" s="43">
        <v>6</v>
      </c>
      <c r="C17" s="43">
        <v>6</v>
      </c>
      <c r="D17" s="44">
        <f t="shared" si="0"/>
        <v>100</v>
      </c>
      <c r="E17" s="43">
        <v>6</v>
      </c>
      <c r="F17" s="44">
        <f t="shared" si="1"/>
        <v>100</v>
      </c>
      <c r="G17" s="6">
        <v>1</v>
      </c>
      <c r="H17" s="44">
        <f t="shared" si="5"/>
        <v>16.666666666666664</v>
      </c>
      <c r="I17" s="6">
        <v>0</v>
      </c>
      <c r="J17" s="44">
        <f t="shared" si="6"/>
        <v>0</v>
      </c>
      <c r="K17" s="43">
        <v>0</v>
      </c>
      <c r="L17" s="44">
        <f t="shared" si="2"/>
        <v>0</v>
      </c>
      <c r="M17" s="43">
        <v>0</v>
      </c>
      <c r="N17" s="44">
        <f t="shared" si="3"/>
        <v>0</v>
      </c>
      <c r="O17" s="43">
        <v>0</v>
      </c>
      <c r="P17" s="44">
        <f t="shared" si="4"/>
        <v>0</v>
      </c>
      <c r="Q17" s="6">
        <v>0</v>
      </c>
      <c r="R17" s="44">
        <f>(Q17/B17)*100</f>
        <v>0</v>
      </c>
    </row>
    <row r="18" spans="1:18" x14ac:dyDescent="0.35">
      <c r="A18" s="42" t="s">
        <v>135</v>
      </c>
      <c r="B18" s="43">
        <v>5</v>
      </c>
      <c r="C18" s="43">
        <v>5</v>
      </c>
      <c r="D18" s="44">
        <f t="shared" si="0"/>
        <v>100</v>
      </c>
      <c r="E18" s="43">
        <v>3</v>
      </c>
      <c r="F18" s="44">
        <f t="shared" si="1"/>
        <v>60</v>
      </c>
      <c r="G18" s="6">
        <v>0</v>
      </c>
      <c r="H18" s="44">
        <f t="shared" si="5"/>
        <v>0</v>
      </c>
      <c r="I18" s="6">
        <v>0</v>
      </c>
      <c r="J18" s="44">
        <f t="shared" si="6"/>
        <v>0</v>
      </c>
      <c r="K18" s="43">
        <v>2</v>
      </c>
      <c r="L18" s="44">
        <f t="shared" si="2"/>
        <v>40</v>
      </c>
      <c r="M18" s="43">
        <v>0</v>
      </c>
      <c r="N18" s="44">
        <f t="shared" si="3"/>
        <v>0</v>
      </c>
      <c r="O18" s="43">
        <v>0</v>
      </c>
      <c r="P18" s="44">
        <f t="shared" si="4"/>
        <v>0</v>
      </c>
      <c r="Q18" s="6">
        <v>0</v>
      </c>
      <c r="R18" s="44">
        <f>(Q18/B18)*100</f>
        <v>0</v>
      </c>
    </row>
    <row r="19" spans="1:18" x14ac:dyDescent="0.35">
      <c r="A19" s="42" t="s">
        <v>136</v>
      </c>
      <c r="B19" s="43">
        <v>4</v>
      </c>
      <c r="C19" s="43">
        <v>4</v>
      </c>
      <c r="D19" s="44">
        <f t="shared" si="0"/>
        <v>100</v>
      </c>
      <c r="E19" s="43">
        <v>4</v>
      </c>
      <c r="F19" s="44">
        <f t="shared" si="1"/>
        <v>100</v>
      </c>
      <c r="G19" s="6">
        <v>0</v>
      </c>
      <c r="H19" s="44">
        <f t="shared" si="5"/>
        <v>0</v>
      </c>
      <c r="I19" s="6">
        <v>0</v>
      </c>
      <c r="J19" s="44">
        <f t="shared" si="6"/>
        <v>0</v>
      </c>
      <c r="K19" s="43">
        <v>0</v>
      </c>
      <c r="L19" s="44">
        <f t="shared" si="2"/>
        <v>0</v>
      </c>
      <c r="M19" s="43">
        <v>0</v>
      </c>
      <c r="N19" s="44">
        <f t="shared" si="3"/>
        <v>0</v>
      </c>
      <c r="O19" s="43">
        <v>0</v>
      </c>
      <c r="P19" s="44">
        <f t="shared" si="4"/>
        <v>0</v>
      </c>
      <c r="Q19" s="6">
        <v>0</v>
      </c>
      <c r="R19" s="44">
        <f>(Q19/B19)*100</f>
        <v>0</v>
      </c>
    </row>
    <row r="20" spans="1:18" x14ac:dyDescent="0.35">
      <c r="A20" s="42" t="s">
        <v>137</v>
      </c>
      <c r="B20" s="43">
        <v>1</v>
      </c>
      <c r="C20" s="43">
        <v>1</v>
      </c>
      <c r="D20" s="44">
        <f t="shared" si="0"/>
        <v>100</v>
      </c>
      <c r="E20" s="43">
        <v>1</v>
      </c>
      <c r="F20" s="44">
        <f t="shared" si="1"/>
        <v>100</v>
      </c>
      <c r="G20" s="6" t="s">
        <v>128</v>
      </c>
      <c r="H20" s="6" t="s">
        <v>128</v>
      </c>
      <c r="I20" s="6" t="s">
        <v>128</v>
      </c>
      <c r="J20" s="44" t="s">
        <v>128</v>
      </c>
      <c r="K20" s="43">
        <v>0</v>
      </c>
      <c r="L20" s="44">
        <f t="shared" si="2"/>
        <v>0</v>
      </c>
      <c r="M20" s="43">
        <v>0</v>
      </c>
      <c r="N20" s="44">
        <f t="shared" si="3"/>
        <v>0</v>
      </c>
      <c r="O20" s="43">
        <v>0</v>
      </c>
      <c r="P20" s="44">
        <f t="shared" si="4"/>
        <v>0</v>
      </c>
      <c r="Q20" s="6" t="s">
        <v>128</v>
      </c>
      <c r="R20" s="44" t="s">
        <v>128</v>
      </c>
    </row>
    <row r="21" spans="1:18" x14ac:dyDescent="0.35">
      <c r="A21" s="42" t="s">
        <v>138</v>
      </c>
      <c r="B21" s="43">
        <v>18</v>
      </c>
      <c r="C21" s="43">
        <v>18</v>
      </c>
      <c r="D21" s="44">
        <f t="shared" si="0"/>
        <v>100</v>
      </c>
      <c r="E21" s="43">
        <v>12</v>
      </c>
      <c r="F21" s="44">
        <f t="shared" si="1"/>
        <v>66.666666666666657</v>
      </c>
      <c r="G21" s="6">
        <v>3</v>
      </c>
      <c r="H21" s="44">
        <f t="shared" si="5"/>
        <v>16.666666666666664</v>
      </c>
      <c r="I21" s="6">
        <v>0</v>
      </c>
      <c r="J21" s="44">
        <f t="shared" si="6"/>
        <v>0</v>
      </c>
      <c r="K21" s="43">
        <v>5</v>
      </c>
      <c r="L21" s="44">
        <f t="shared" si="2"/>
        <v>27.777777777777779</v>
      </c>
      <c r="M21" s="43">
        <v>1</v>
      </c>
      <c r="N21" s="44">
        <f t="shared" si="3"/>
        <v>5.5555555555555554</v>
      </c>
      <c r="O21" s="43">
        <v>0</v>
      </c>
      <c r="P21" s="44">
        <f t="shared" si="4"/>
        <v>0</v>
      </c>
      <c r="Q21" s="6">
        <v>0</v>
      </c>
      <c r="R21" s="44">
        <f t="shared" ref="R21:R26" si="8">(Q21/B21)*100</f>
        <v>0</v>
      </c>
    </row>
    <row r="22" spans="1:18" x14ac:dyDescent="0.35">
      <c r="A22" s="42" t="s">
        <v>139</v>
      </c>
      <c r="B22" s="43">
        <v>39</v>
      </c>
      <c r="C22" s="43">
        <v>39</v>
      </c>
      <c r="D22" s="44">
        <f t="shared" si="0"/>
        <v>100</v>
      </c>
      <c r="E22" s="43">
        <v>32</v>
      </c>
      <c r="F22" s="44">
        <f t="shared" si="1"/>
        <v>82.051282051282044</v>
      </c>
      <c r="G22" s="6">
        <v>8</v>
      </c>
      <c r="H22" s="44">
        <f t="shared" si="5"/>
        <v>20.512820512820511</v>
      </c>
      <c r="I22" s="6">
        <v>0</v>
      </c>
      <c r="J22" s="44">
        <f t="shared" si="6"/>
        <v>0</v>
      </c>
      <c r="K22" s="43">
        <v>2</v>
      </c>
      <c r="L22" s="44">
        <f t="shared" si="2"/>
        <v>5.1282051282051277</v>
      </c>
      <c r="M22" s="43">
        <v>5</v>
      </c>
      <c r="N22" s="44">
        <f t="shared" si="3"/>
        <v>12.820512820512819</v>
      </c>
      <c r="O22" s="43">
        <v>0</v>
      </c>
      <c r="P22" s="44">
        <f t="shared" si="4"/>
        <v>0</v>
      </c>
      <c r="Q22" s="6">
        <v>0</v>
      </c>
      <c r="R22" s="44">
        <f t="shared" si="8"/>
        <v>0</v>
      </c>
    </row>
    <row r="23" spans="1:18" x14ac:dyDescent="0.35">
      <c r="A23" s="42" t="s">
        <v>140</v>
      </c>
      <c r="B23" s="43">
        <v>21</v>
      </c>
      <c r="C23" s="43">
        <v>21</v>
      </c>
      <c r="D23" s="44">
        <f t="shared" si="0"/>
        <v>100</v>
      </c>
      <c r="E23" s="43">
        <v>17</v>
      </c>
      <c r="F23" s="44">
        <f t="shared" si="1"/>
        <v>80.952380952380949</v>
      </c>
      <c r="G23" s="6">
        <v>4</v>
      </c>
      <c r="H23" s="44">
        <f t="shared" si="5"/>
        <v>19.047619047619047</v>
      </c>
      <c r="I23" s="6">
        <v>0</v>
      </c>
      <c r="J23" s="44">
        <f t="shared" si="6"/>
        <v>0</v>
      </c>
      <c r="K23" s="43">
        <v>4</v>
      </c>
      <c r="L23" s="44">
        <f t="shared" si="2"/>
        <v>19.047619047619047</v>
      </c>
      <c r="M23" s="43">
        <v>0</v>
      </c>
      <c r="N23" s="44">
        <f t="shared" si="3"/>
        <v>0</v>
      </c>
      <c r="O23" s="43">
        <v>0</v>
      </c>
      <c r="P23" s="44">
        <f t="shared" si="4"/>
        <v>0</v>
      </c>
      <c r="Q23" s="6">
        <v>0</v>
      </c>
      <c r="R23" s="44">
        <f t="shared" si="8"/>
        <v>0</v>
      </c>
    </row>
    <row r="24" spans="1:18" x14ac:dyDescent="0.35">
      <c r="A24" s="42" t="s">
        <v>141</v>
      </c>
      <c r="B24" s="43">
        <v>32</v>
      </c>
      <c r="C24" s="43">
        <v>32</v>
      </c>
      <c r="D24" s="44">
        <f t="shared" si="0"/>
        <v>100</v>
      </c>
      <c r="E24" s="43">
        <v>24</v>
      </c>
      <c r="F24" s="44">
        <f t="shared" si="1"/>
        <v>75</v>
      </c>
      <c r="G24" s="6">
        <v>12</v>
      </c>
      <c r="H24" s="44">
        <f t="shared" si="5"/>
        <v>37.5</v>
      </c>
      <c r="I24" s="6">
        <v>0</v>
      </c>
      <c r="J24" s="44">
        <f t="shared" si="6"/>
        <v>0</v>
      </c>
      <c r="K24" s="43">
        <v>8</v>
      </c>
      <c r="L24" s="44">
        <f t="shared" si="2"/>
        <v>25</v>
      </c>
      <c r="M24" s="43">
        <v>0</v>
      </c>
      <c r="N24" s="44">
        <f t="shared" si="3"/>
        <v>0</v>
      </c>
      <c r="O24" s="43">
        <v>0</v>
      </c>
      <c r="P24" s="44">
        <f t="shared" si="4"/>
        <v>0</v>
      </c>
      <c r="Q24" s="6">
        <v>0</v>
      </c>
      <c r="R24" s="44">
        <f t="shared" si="8"/>
        <v>0</v>
      </c>
    </row>
    <row r="25" spans="1:18" x14ac:dyDescent="0.35">
      <c r="A25" s="42" t="s">
        <v>142</v>
      </c>
      <c r="B25" s="43">
        <v>23</v>
      </c>
      <c r="C25" s="43">
        <v>23</v>
      </c>
      <c r="D25" s="44">
        <f t="shared" si="0"/>
        <v>100</v>
      </c>
      <c r="E25" s="43">
        <v>8</v>
      </c>
      <c r="F25" s="44">
        <f t="shared" si="1"/>
        <v>34.782608695652172</v>
      </c>
      <c r="G25" s="6">
        <v>4</v>
      </c>
      <c r="H25" s="44">
        <f t="shared" si="5"/>
        <v>17.391304347826086</v>
      </c>
      <c r="I25" s="6">
        <v>0</v>
      </c>
      <c r="J25" s="44">
        <f t="shared" si="6"/>
        <v>0</v>
      </c>
      <c r="K25" s="43">
        <v>15</v>
      </c>
      <c r="L25" s="44">
        <f t="shared" si="2"/>
        <v>65.217391304347828</v>
      </c>
      <c r="M25" s="43">
        <v>0</v>
      </c>
      <c r="N25" s="44">
        <f t="shared" si="3"/>
        <v>0</v>
      </c>
      <c r="O25" s="43">
        <v>0</v>
      </c>
      <c r="P25" s="44">
        <f t="shared" si="4"/>
        <v>0</v>
      </c>
      <c r="Q25" s="6">
        <v>0</v>
      </c>
      <c r="R25" s="44">
        <f t="shared" si="8"/>
        <v>0</v>
      </c>
    </row>
    <row r="26" spans="1:18" x14ac:dyDescent="0.35">
      <c r="A26" s="42" t="s">
        <v>143</v>
      </c>
      <c r="B26" s="43">
        <v>19</v>
      </c>
      <c r="C26" s="43">
        <v>19</v>
      </c>
      <c r="D26" s="44">
        <f t="shared" si="0"/>
        <v>100</v>
      </c>
      <c r="E26" s="43">
        <v>14</v>
      </c>
      <c r="F26" s="44">
        <f t="shared" si="1"/>
        <v>73.68421052631578</v>
      </c>
      <c r="G26" s="6">
        <v>6</v>
      </c>
      <c r="H26" s="44">
        <f t="shared" si="5"/>
        <v>31.578947368421051</v>
      </c>
      <c r="I26" s="6">
        <v>0</v>
      </c>
      <c r="J26" s="44">
        <f t="shared" si="6"/>
        <v>0</v>
      </c>
      <c r="K26" s="43">
        <v>3</v>
      </c>
      <c r="L26" s="44">
        <f t="shared" si="2"/>
        <v>15.789473684210526</v>
      </c>
      <c r="M26" s="43">
        <v>2</v>
      </c>
      <c r="N26" s="44">
        <f t="shared" si="3"/>
        <v>10.526315789473683</v>
      </c>
      <c r="O26" s="43">
        <v>0</v>
      </c>
      <c r="P26" s="44">
        <f t="shared" si="4"/>
        <v>0</v>
      </c>
      <c r="Q26" s="6">
        <v>0</v>
      </c>
      <c r="R26" s="44">
        <f t="shared" si="8"/>
        <v>0</v>
      </c>
    </row>
    <row r="27" spans="1:18" ht="15" thickBot="1" x14ac:dyDescent="0.4">
      <c r="A27" s="63" t="s">
        <v>700</v>
      </c>
      <c r="B27" s="66">
        <v>3</v>
      </c>
      <c r="C27" s="66">
        <v>3</v>
      </c>
      <c r="D27" s="65">
        <f t="shared" si="0"/>
        <v>100</v>
      </c>
      <c r="E27" s="66">
        <v>3</v>
      </c>
      <c r="F27" s="65">
        <f t="shared" si="1"/>
        <v>100</v>
      </c>
      <c r="G27" s="64" t="s">
        <v>128</v>
      </c>
      <c r="H27" s="64" t="s">
        <v>128</v>
      </c>
      <c r="I27" s="64" t="s">
        <v>128</v>
      </c>
      <c r="J27" s="65" t="s">
        <v>128</v>
      </c>
      <c r="K27" s="66">
        <v>0</v>
      </c>
      <c r="L27" s="65">
        <f t="shared" si="2"/>
        <v>0</v>
      </c>
      <c r="M27" s="66">
        <v>0</v>
      </c>
      <c r="N27" s="65">
        <f t="shared" si="3"/>
        <v>0</v>
      </c>
      <c r="O27" s="66">
        <v>0</v>
      </c>
      <c r="P27" s="65">
        <f t="shared" si="4"/>
        <v>0</v>
      </c>
      <c r="Q27" s="64" t="s">
        <v>128</v>
      </c>
      <c r="R27" s="65" t="s">
        <v>128</v>
      </c>
    </row>
    <row r="28" spans="1:18" ht="15" thickBot="1" x14ac:dyDescent="0.4">
      <c r="A28" s="95" t="s">
        <v>999</v>
      </c>
      <c r="B28" s="93">
        <f>SUM(B3:B27)</f>
        <v>351</v>
      </c>
      <c r="C28" s="93">
        <f>SUM(C3:C27)</f>
        <v>351</v>
      </c>
      <c r="D28" s="94">
        <f t="shared" si="0"/>
        <v>100</v>
      </c>
      <c r="E28" s="93">
        <f>SUM(E3:E27)</f>
        <v>263</v>
      </c>
      <c r="F28" s="94">
        <f t="shared" si="1"/>
        <v>74.928774928774928</v>
      </c>
      <c r="G28" s="85">
        <f>SUM(G3:G27)</f>
        <v>61</v>
      </c>
      <c r="H28" s="94">
        <f>(G28/B28)*100</f>
        <v>17.378917378917379</v>
      </c>
      <c r="I28" s="85">
        <f>SUM(I3:I27)</f>
        <v>1</v>
      </c>
      <c r="J28" s="94">
        <f>(I28/B28)*100</f>
        <v>0.28490028490028491</v>
      </c>
      <c r="K28" s="93">
        <f>SUM(K3:K27)</f>
        <v>77</v>
      </c>
      <c r="L28" s="94">
        <f t="shared" si="2"/>
        <v>21.937321937321936</v>
      </c>
      <c r="M28" s="93">
        <f>SUM(M3:M27)</f>
        <v>11</v>
      </c>
      <c r="N28" s="94">
        <f t="shared" si="3"/>
        <v>3.133903133903134</v>
      </c>
      <c r="O28" s="93">
        <f>SUM(O3:O27)</f>
        <v>0</v>
      </c>
      <c r="P28" s="94">
        <f t="shared" si="4"/>
        <v>0</v>
      </c>
      <c r="Q28" s="85">
        <f>SUM(Q3:Q27)</f>
        <v>0</v>
      </c>
      <c r="R28" s="94">
        <f>(Q28/B28)*100</f>
        <v>0</v>
      </c>
    </row>
    <row r="29" spans="1:18" x14ac:dyDescent="0.35">
      <c r="A29" s="42" t="s">
        <v>169</v>
      </c>
      <c r="B29" s="43">
        <v>4</v>
      </c>
      <c r="C29" s="43">
        <v>4</v>
      </c>
      <c r="D29" s="44">
        <f t="shared" si="0"/>
        <v>100</v>
      </c>
      <c r="E29" s="43">
        <v>0</v>
      </c>
      <c r="F29" s="44">
        <f t="shared" si="1"/>
        <v>0</v>
      </c>
      <c r="G29" s="6" t="s">
        <v>128</v>
      </c>
      <c r="H29" s="6" t="s">
        <v>128</v>
      </c>
      <c r="I29" s="6" t="s">
        <v>128</v>
      </c>
      <c r="J29" s="6" t="s">
        <v>128</v>
      </c>
      <c r="K29" s="43">
        <v>4</v>
      </c>
      <c r="L29" s="44">
        <f t="shared" si="2"/>
        <v>100</v>
      </c>
      <c r="M29" s="43">
        <v>0</v>
      </c>
      <c r="N29" s="44">
        <f t="shared" si="3"/>
        <v>0</v>
      </c>
      <c r="O29" s="43">
        <v>0</v>
      </c>
      <c r="P29" s="44">
        <f t="shared" si="4"/>
        <v>0</v>
      </c>
      <c r="Q29" s="6" t="s">
        <v>128</v>
      </c>
      <c r="R29" s="6" t="s">
        <v>128</v>
      </c>
    </row>
    <row r="30" spans="1:18" ht="15" thickBot="1" x14ac:dyDescent="0.4">
      <c r="A30" s="63" t="s">
        <v>150</v>
      </c>
      <c r="B30" s="66">
        <v>3</v>
      </c>
      <c r="C30" s="66">
        <v>3</v>
      </c>
      <c r="D30" s="65">
        <f>(C30/B30)*100</f>
        <v>100</v>
      </c>
      <c r="E30" s="66">
        <v>0</v>
      </c>
      <c r="F30" s="65">
        <f>(E30/B30)*100</f>
        <v>0</v>
      </c>
      <c r="G30" s="66">
        <v>0</v>
      </c>
      <c r="H30" s="65">
        <f>(G30/B30)*100</f>
        <v>0</v>
      </c>
      <c r="I30" s="64">
        <v>0</v>
      </c>
      <c r="J30" s="65">
        <f>(I30/B30)*100</f>
        <v>0</v>
      </c>
      <c r="K30" s="66">
        <v>3</v>
      </c>
      <c r="L30" s="65">
        <f>(K30/B30)*100</f>
        <v>100</v>
      </c>
      <c r="M30" s="66">
        <v>0</v>
      </c>
      <c r="N30" s="65">
        <f>(M30/B30)*100</f>
        <v>0</v>
      </c>
      <c r="O30" s="66">
        <v>0</v>
      </c>
      <c r="P30" s="65">
        <f>(O30/B30)*100</f>
        <v>0</v>
      </c>
      <c r="Q30" s="64">
        <v>0</v>
      </c>
      <c r="R30" s="44">
        <f>(Q30/B30)*100</f>
        <v>0</v>
      </c>
    </row>
    <row r="31" spans="1:18" ht="15" thickBot="1" x14ac:dyDescent="0.4">
      <c r="A31" s="95" t="s">
        <v>173</v>
      </c>
      <c r="B31" s="93">
        <f>SUM(B29:B30)</f>
        <v>7</v>
      </c>
      <c r="C31" s="93">
        <f>SUM(C29:C30)</f>
        <v>7</v>
      </c>
      <c r="D31" s="94">
        <f>(C31/B31)*100</f>
        <v>100</v>
      </c>
      <c r="E31" s="93">
        <v>0</v>
      </c>
      <c r="F31" s="94">
        <f>(E31/B31)*100</f>
        <v>0</v>
      </c>
      <c r="G31" s="85">
        <v>0</v>
      </c>
      <c r="H31" s="94">
        <f>(G31/B31)*100</f>
        <v>0</v>
      </c>
      <c r="I31" s="85">
        <v>0</v>
      </c>
      <c r="J31" s="94">
        <f>(I31/B31)*100</f>
        <v>0</v>
      </c>
      <c r="K31" s="93">
        <v>7</v>
      </c>
      <c r="L31" s="94">
        <f>(K31/B31)*100</f>
        <v>100</v>
      </c>
      <c r="M31" s="93">
        <v>0</v>
      </c>
      <c r="N31" s="94">
        <f>(M31/B31)*100</f>
        <v>0</v>
      </c>
      <c r="O31" s="93">
        <v>0</v>
      </c>
      <c r="P31" s="94">
        <f>(O31/B31)*100</f>
        <v>0</v>
      </c>
      <c r="Q31" s="85">
        <v>0</v>
      </c>
      <c r="R31" s="81">
        <f>(Q31/B31)*100</f>
        <v>0</v>
      </c>
    </row>
    <row r="32" spans="1:18" ht="15" thickBot="1" x14ac:dyDescent="0.4">
      <c r="A32" s="95" t="s">
        <v>1000</v>
      </c>
      <c r="B32" s="93">
        <f>B28+B31</f>
        <v>358</v>
      </c>
      <c r="C32" s="93">
        <f>C28+C31</f>
        <v>358</v>
      </c>
      <c r="D32" s="94">
        <f>(C32/B32)*100</f>
        <v>100</v>
      </c>
      <c r="E32" s="93">
        <f>E28+E31</f>
        <v>263</v>
      </c>
      <c r="F32" s="94">
        <f>(E32/B32)*100</f>
        <v>73.463687150837984</v>
      </c>
      <c r="G32" s="85">
        <f>G28+G31</f>
        <v>61</v>
      </c>
      <c r="H32" s="94">
        <f>(G32/B32)*100</f>
        <v>17.039106145251395</v>
      </c>
      <c r="I32" s="85">
        <f>I28+I31</f>
        <v>1</v>
      </c>
      <c r="J32" s="94">
        <f>(I32/B32)*100</f>
        <v>0.27932960893854747</v>
      </c>
      <c r="K32" s="93">
        <f>K28+K31</f>
        <v>84</v>
      </c>
      <c r="L32" s="94">
        <f>(K32/B32)*100</f>
        <v>23.463687150837988</v>
      </c>
      <c r="M32" s="93">
        <f>M28+M31</f>
        <v>11</v>
      </c>
      <c r="N32" s="94">
        <f>(M32/B32)*100</f>
        <v>3.0726256983240221</v>
      </c>
      <c r="O32" s="93">
        <f>O28+O31</f>
        <v>0</v>
      </c>
      <c r="P32" s="94">
        <f>(O32/B32)*100</f>
        <v>0</v>
      </c>
      <c r="Q32" s="85">
        <f>Q28+Q31</f>
        <v>0</v>
      </c>
      <c r="R32" s="94">
        <f>(Q32/B32)*100</f>
        <v>0</v>
      </c>
    </row>
    <row r="33" spans="1:18" x14ac:dyDescent="0.35">
      <c r="B33" s="67"/>
      <c r="C33" s="67"/>
      <c r="D33" s="68"/>
      <c r="E33" s="67"/>
      <c r="F33" s="68"/>
      <c r="G33" s="67"/>
      <c r="H33" s="68"/>
      <c r="J33" s="68"/>
      <c r="K33" s="67"/>
      <c r="L33" s="68"/>
      <c r="M33" s="67"/>
      <c r="N33" s="68"/>
      <c r="O33" s="67"/>
      <c r="P33" s="68"/>
      <c r="R33" s="68"/>
    </row>
    <row r="34" spans="1:18" x14ac:dyDescent="0.35">
      <c r="A34" s="42" t="s">
        <v>970</v>
      </c>
      <c r="B34" s="67"/>
      <c r="C34" s="67"/>
      <c r="D34" s="68"/>
      <c r="E34" s="67"/>
      <c r="F34" s="68"/>
      <c r="G34" s="67"/>
      <c r="H34" s="68"/>
      <c r="J34" s="68"/>
      <c r="K34" s="67"/>
      <c r="L34" s="68"/>
      <c r="M34" s="67"/>
      <c r="N34" s="68"/>
      <c r="O34" s="67"/>
      <c r="P34" s="68"/>
      <c r="R34" s="68"/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15">
    <tabColor theme="9" tint="0.59999389629810485"/>
  </sheetPr>
  <dimension ref="A1:R34"/>
  <sheetViews>
    <sheetView zoomScale="80" zoomScaleNormal="80" workbookViewId="0">
      <pane ySplit="2" topLeftCell="A3" activePane="bottomLeft" state="frozen"/>
      <selection pane="bottomLeft" activeCell="J36" sqref="J36"/>
    </sheetView>
  </sheetViews>
  <sheetFormatPr defaultColWidth="10.6328125" defaultRowHeight="14.5" x14ac:dyDescent="0.35"/>
  <cols>
    <col min="1" max="1" width="32.54296875" customWidth="1"/>
    <col min="2" max="2" width="10.6328125" style="6"/>
    <col min="3" max="18" width="12.81640625" style="6" customWidth="1"/>
  </cols>
  <sheetData>
    <row r="1" spans="1:18" ht="17" thickBot="1" x14ac:dyDescent="0.4">
      <c r="A1" s="242" t="s">
        <v>108</v>
      </c>
      <c r="B1" s="242" t="s">
        <v>87</v>
      </c>
      <c r="C1" s="231" t="s">
        <v>109</v>
      </c>
      <c r="D1" s="231"/>
      <c r="E1" s="231" t="s">
        <v>160</v>
      </c>
      <c r="F1" s="231"/>
      <c r="G1" s="231" t="s">
        <v>161</v>
      </c>
      <c r="H1" s="231"/>
      <c r="I1" s="231" t="s">
        <v>162</v>
      </c>
      <c r="J1" s="231"/>
      <c r="K1" s="231" t="s">
        <v>163</v>
      </c>
      <c r="L1" s="231"/>
      <c r="M1" s="231" t="s">
        <v>164</v>
      </c>
      <c r="N1" s="231"/>
      <c r="O1" s="231" t="s">
        <v>165</v>
      </c>
      <c r="P1" s="231"/>
      <c r="Q1" s="264" t="s">
        <v>1020</v>
      </c>
      <c r="R1" s="264"/>
    </row>
    <row r="2" spans="1:18" ht="15" thickBot="1" x14ac:dyDescent="0.4">
      <c r="A2" s="231"/>
      <c r="B2" s="231"/>
      <c r="C2" s="85" t="s">
        <v>83</v>
      </c>
      <c r="D2" s="85" t="s">
        <v>94</v>
      </c>
      <c r="E2" s="85" t="s">
        <v>83</v>
      </c>
      <c r="F2" s="85" t="s">
        <v>94</v>
      </c>
      <c r="G2" s="85" t="s">
        <v>83</v>
      </c>
      <c r="H2" s="85" t="s">
        <v>94</v>
      </c>
      <c r="I2" s="85" t="s">
        <v>83</v>
      </c>
      <c r="J2" s="85" t="s">
        <v>94</v>
      </c>
      <c r="K2" s="85" t="s">
        <v>83</v>
      </c>
      <c r="L2" s="85" t="s">
        <v>94</v>
      </c>
      <c r="M2" s="85" t="s">
        <v>83</v>
      </c>
      <c r="N2" s="85" t="s">
        <v>94</v>
      </c>
      <c r="O2" s="85" t="s">
        <v>83</v>
      </c>
      <c r="P2" s="85" t="s">
        <v>94</v>
      </c>
      <c r="Q2" s="85" t="s">
        <v>83</v>
      </c>
      <c r="R2" s="85" t="s">
        <v>94</v>
      </c>
    </row>
    <row r="3" spans="1:18" x14ac:dyDescent="0.35">
      <c r="A3" t="s">
        <v>177</v>
      </c>
      <c r="B3" s="43">
        <v>8</v>
      </c>
      <c r="C3" s="43">
        <v>8</v>
      </c>
      <c r="D3" s="44">
        <f>(C3/B3)*100</f>
        <v>100</v>
      </c>
      <c r="E3" s="43">
        <v>8</v>
      </c>
      <c r="F3" s="44">
        <f>(E3/B3)*100</f>
        <v>100</v>
      </c>
      <c r="G3" s="6" t="s">
        <v>128</v>
      </c>
      <c r="H3" s="6" t="s">
        <v>128</v>
      </c>
      <c r="I3" s="6" t="s">
        <v>128</v>
      </c>
      <c r="J3" s="6" t="s">
        <v>128</v>
      </c>
      <c r="K3" s="43">
        <v>0</v>
      </c>
      <c r="L3" s="44">
        <f>(K3/B3)*100</f>
        <v>0</v>
      </c>
      <c r="M3" s="43">
        <v>0</v>
      </c>
      <c r="N3" s="44">
        <f>(M3/B3)*100</f>
        <v>0</v>
      </c>
      <c r="O3" s="43">
        <v>0</v>
      </c>
      <c r="P3" s="44">
        <f>(O3/B3)*100</f>
        <v>0</v>
      </c>
      <c r="Q3" s="6" t="s">
        <v>128</v>
      </c>
      <c r="R3" s="6" t="s">
        <v>128</v>
      </c>
    </row>
    <row r="4" spans="1:18" x14ac:dyDescent="0.35">
      <c r="A4" t="s">
        <v>183</v>
      </c>
      <c r="B4" s="43">
        <v>6</v>
      </c>
      <c r="C4" s="43">
        <v>6</v>
      </c>
      <c r="D4" s="44">
        <f t="shared" ref="D4:D32" si="0">(C4/B4)*100</f>
        <v>100</v>
      </c>
      <c r="E4" s="43">
        <v>2</v>
      </c>
      <c r="F4" s="44">
        <f t="shared" ref="F4:F32" si="1">(E4/B4)*100</f>
        <v>33.333333333333329</v>
      </c>
      <c r="G4" s="6" t="s">
        <v>128</v>
      </c>
      <c r="H4" s="6" t="s">
        <v>128</v>
      </c>
      <c r="I4" s="6" t="s">
        <v>128</v>
      </c>
      <c r="J4" s="6" t="s">
        <v>128</v>
      </c>
      <c r="K4" s="43">
        <v>4</v>
      </c>
      <c r="L4" s="44">
        <f t="shared" ref="L4:L32" si="2">(K4/B4)*100</f>
        <v>66.666666666666657</v>
      </c>
      <c r="M4" s="43">
        <v>0</v>
      </c>
      <c r="N4" s="44">
        <f t="shared" ref="N4:N32" si="3">(M4/B4)*100</f>
        <v>0</v>
      </c>
      <c r="O4" s="43">
        <v>0</v>
      </c>
      <c r="P4" s="44">
        <f t="shared" ref="P4:P32" si="4">(O4/B4)*100</f>
        <v>0</v>
      </c>
      <c r="Q4" s="6" t="s">
        <v>128</v>
      </c>
      <c r="R4" s="6" t="s">
        <v>128</v>
      </c>
    </row>
    <row r="5" spans="1:18" x14ac:dyDescent="0.35">
      <c r="A5" t="s">
        <v>118</v>
      </c>
      <c r="B5" s="43">
        <v>7</v>
      </c>
      <c r="C5" s="43">
        <v>7</v>
      </c>
      <c r="D5" s="44">
        <f t="shared" si="0"/>
        <v>100</v>
      </c>
      <c r="E5" s="43">
        <v>7</v>
      </c>
      <c r="F5" s="44">
        <f t="shared" si="1"/>
        <v>100</v>
      </c>
      <c r="G5" s="6">
        <v>1</v>
      </c>
      <c r="H5" s="44">
        <f>(G5/B5)*100</f>
        <v>14.285714285714285</v>
      </c>
      <c r="I5" s="6">
        <v>0</v>
      </c>
      <c r="J5" s="44">
        <f>(I5/B5)*100</f>
        <v>0</v>
      </c>
      <c r="K5" s="43">
        <v>0</v>
      </c>
      <c r="L5" s="44">
        <f t="shared" si="2"/>
        <v>0</v>
      </c>
      <c r="M5" s="43">
        <v>0</v>
      </c>
      <c r="N5" s="44">
        <f t="shared" si="3"/>
        <v>0</v>
      </c>
      <c r="O5" s="43">
        <v>0</v>
      </c>
      <c r="P5" s="44">
        <f t="shared" si="4"/>
        <v>0</v>
      </c>
      <c r="Q5" s="6">
        <v>0</v>
      </c>
      <c r="R5" s="44">
        <f>(Q5/B5)*100</f>
        <v>0</v>
      </c>
    </row>
    <row r="6" spans="1:18" x14ac:dyDescent="0.35">
      <c r="A6" t="s">
        <v>120</v>
      </c>
      <c r="B6" s="43">
        <v>4</v>
      </c>
      <c r="C6" s="43">
        <v>3</v>
      </c>
      <c r="D6" s="44">
        <f t="shared" si="0"/>
        <v>75</v>
      </c>
      <c r="E6" s="43">
        <v>3</v>
      </c>
      <c r="F6" s="44">
        <f t="shared" si="1"/>
        <v>75</v>
      </c>
      <c r="G6" s="6">
        <v>0</v>
      </c>
      <c r="H6" s="44">
        <f t="shared" ref="H6:H30" si="5">(G6/B6)*100</f>
        <v>0</v>
      </c>
      <c r="I6" s="6">
        <v>0</v>
      </c>
      <c r="J6" s="44">
        <f t="shared" ref="J6:J30" si="6">(I6/B6)*100</f>
        <v>0</v>
      </c>
      <c r="K6" s="43">
        <v>0</v>
      </c>
      <c r="L6" s="44">
        <f t="shared" si="2"/>
        <v>0</v>
      </c>
      <c r="M6" s="43">
        <v>0</v>
      </c>
      <c r="N6" s="44">
        <f t="shared" si="3"/>
        <v>0</v>
      </c>
      <c r="O6" s="43">
        <v>0</v>
      </c>
      <c r="P6" s="44">
        <f t="shared" si="4"/>
        <v>0</v>
      </c>
      <c r="Q6" s="6">
        <v>0</v>
      </c>
      <c r="R6" s="44">
        <f>(Q6/B6)*100</f>
        <v>0</v>
      </c>
    </row>
    <row r="7" spans="1:18" x14ac:dyDescent="0.35">
      <c r="A7" t="s">
        <v>204</v>
      </c>
      <c r="B7" s="43">
        <v>29</v>
      </c>
      <c r="C7" s="43">
        <v>29</v>
      </c>
      <c r="D7" s="44">
        <f t="shared" si="0"/>
        <v>100</v>
      </c>
      <c r="E7" s="43">
        <v>26</v>
      </c>
      <c r="F7" s="44">
        <f t="shared" si="1"/>
        <v>89.65517241379311</v>
      </c>
      <c r="G7" s="6" t="s">
        <v>128</v>
      </c>
      <c r="H7" s="44" t="s">
        <v>128</v>
      </c>
      <c r="I7" s="6" t="s">
        <v>128</v>
      </c>
      <c r="J7" s="44" t="s">
        <v>128</v>
      </c>
      <c r="K7" s="43">
        <v>3</v>
      </c>
      <c r="L7" s="44">
        <f t="shared" si="2"/>
        <v>10.344827586206897</v>
      </c>
      <c r="M7" s="43">
        <v>0</v>
      </c>
      <c r="N7" s="44">
        <f t="shared" si="3"/>
        <v>0</v>
      </c>
      <c r="O7" s="43">
        <v>0</v>
      </c>
      <c r="P7" s="44">
        <f t="shared" si="4"/>
        <v>0</v>
      </c>
      <c r="Q7" s="6" t="s">
        <v>128</v>
      </c>
      <c r="R7" s="44" t="s">
        <v>128</v>
      </c>
    </row>
    <row r="8" spans="1:18" x14ac:dyDescent="0.35">
      <c r="A8" t="s">
        <v>123</v>
      </c>
      <c r="B8" s="43">
        <v>9</v>
      </c>
      <c r="C8" s="43">
        <v>9</v>
      </c>
      <c r="D8" s="44">
        <f t="shared" si="0"/>
        <v>100</v>
      </c>
      <c r="E8" s="43">
        <v>9</v>
      </c>
      <c r="F8" s="44">
        <f t="shared" si="1"/>
        <v>100</v>
      </c>
      <c r="G8" s="6">
        <v>2</v>
      </c>
      <c r="H8" s="44">
        <f t="shared" si="5"/>
        <v>22.222222222222221</v>
      </c>
      <c r="I8" s="6">
        <v>0</v>
      </c>
      <c r="J8" s="44">
        <f t="shared" si="6"/>
        <v>0</v>
      </c>
      <c r="K8" s="43">
        <v>0</v>
      </c>
      <c r="L8" s="44">
        <f t="shared" si="2"/>
        <v>0</v>
      </c>
      <c r="M8" s="43">
        <v>0</v>
      </c>
      <c r="N8" s="44">
        <f t="shared" si="3"/>
        <v>0</v>
      </c>
      <c r="O8" s="43">
        <v>0</v>
      </c>
      <c r="P8" s="44">
        <f t="shared" si="4"/>
        <v>0</v>
      </c>
      <c r="Q8" s="6">
        <v>0</v>
      </c>
      <c r="R8" s="44">
        <f>(Q8/B8)*100</f>
        <v>0</v>
      </c>
    </row>
    <row r="9" spans="1:18" x14ac:dyDescent="0.35">
      <c r="A9" t="s">
        <v>124</v>
      </c>
      <c r="B9" s="43">
        <v>5</v>
      </c>
      <c r="C9" s="43">
        <v>5</v>
      </c>
      <c r="D9" s="44">
        <f t="shared" si="0"/>
        <v>100</v>
      </c>
      <c r="E9" s="43">
        <v>4</v>
      </c>
      <c r="F9" s="44">
        <f t="shared" si="1"/>
        <v>80</v>
      </c>
      <c r="G9" s="6">
        <v>1</v>
      </c>
      <c r="H9" s="44">
        <f t="shared" si="5"/>
        <v>20</v>
      </c>
      <c r="I9" s="6">
        <v>0</v>
      </c>
      <c r="J9" s="44">
        <f t="shared" si="6"/>
        <v>0</v>
      </c>
      <c r="K9" s="43">
        <v>0</v>
      </c>
      <c r="L9" s="44">
        <f t="shared" si="2"/>
        <v>0</v>
      </c>
      <c r="M9" s="43">
        <v>1</v>
      </c>
      <c r="N9" s="44">
        <f t="shared" si="3"/>
        <v>20</v>
      </c>
      <c r="O9" s="43">
        <v>0</v>
      </c>
      <c r="P9" s="44">
        <f t="shared" si="4"/>
        <v>0</v>
      </c>
      <c r="Q9" s="6">
        <v>0</v>
      </c>
      <c r="R9" s="44">
        <f>(Q9/B9)*100</f>
        <v>0</v>
      </c>
    </row>
    <row r="10" spans="1:18" x14ac:dyDescent="0.35">
      <c r="A10" t="s">
        <v>217</v>
      </c>
      <c r="B10" s="43">
        <v>1</v>
      </c>
      <c r="C10" s="43">
        <v>1</v>
      </c>
      <c r="D10" s="44">
        <f t="shared" si="0"/>
        <v>100</v>
      </c>
      <c r="E10" s="43">
        <v>1</v>
      </c>
      <c r="F10" s="44">
        <f t="shared" si="1"/>
        <v>100</v>
      </c>
      <c r="G10" s="6" t="s">
        <v>128</v>
      </c>
      <c r="H10" s="44" t="s">
        <v>128</v>
      </c>
      <c r="I10" s="6" t="s">
        <v>128</v>
      </c>
      <c r="J10" s="44" t="s">
        <v>128</v>
      </c>
      <c r="K10" s="43">
        <v>0</v>
      </c>
      <c r="L10" s="44">
        <f t="shared" si="2"/>
        <v>0</v>
      </c>
      <c r="M10" s="43">
        <v>0</v>
      </c>
      <c r="N10" s="44">
        <f t="shared" si="3"/>
        <v>0</v>
      </c>
      <c r="O10" s="43">
        <v>0</v>
      </c>
      <c r="P10" s="44">
        <f t="shared" si="4"/>
        <v>0</v>
      </c>
      <c r="Q10" s="6" t="s">
        <v>128</v>
      </c>
      <c r="R10" s="44" t="s">
        <v>128</v>
      </c>
    </row>
    <row r="11" spans="1:18" x14ac:dyDescent="0.35">
      <c r="A11" t="s">
        <v>126</v>
      </c>
      <c r="B11" s="43">
        <v>2</v>
      </c>
      <c r="C11" s="43">
        <v>2</v>
      </c>
      <c r="D11" s="44">
        <f t="shared" si="0"/>
        <v>100</v>
      </c>
      <c r="E11" s="43">
        <v>0</v>
      </c>
      <c r="F11" s="44">
        <f t="shared" si="1"/>
        <v>0</v>
      </c>
      <c r="G11" s="6">
        <v>0</v>
      </c>
      <c r="H11" s="44">
        <f t="shared" si="5"/>
        <v>0</v>
      </c>
      <c r="I11" s="6">
        <v>0</v>
      </c>
      <c r="J11" s="44">
        <f t="shared" si="6"/>
        <v>0</v>
      </c>
      <c r="K11" s="43">
        <v>2</v>
      </c>
      <c r="L11" s="44">
        <f t="shared" si="2"/>
        <v>100</v>
      </c>
      <c r="M11" s="43">
        <v>0</v>
      </c>
      <c r="N11" s="44">
        <f t="shared" si="3"/>
        <v>0</v>
      </c>
      <c r="O11" s="43">
        <v>0</v>
      </c>
      <c r="P11" s="44">
        <f t="shared" si="4"/>
        <v>0</v>
      </c>
      <c r="Q11" s="6">
        <v>0</v>
      </c>
      <c r="R11" s="44">
        <f>(Q11/B11)*100</f>
        <v>0</v>
      </c>
    </row>
    <row r="12" spans="1:18" x14ac:dyDescent="0.35">
      <c r="A12" t="s">
        <v>127</v>
      </c>
      <c r="B12" s="43">
        <v>2</v>
      </c>
      <c r="C12" s="43">
        <v>2</v>
      </c>
      <c r="D12" s="44">
        <f t="shared" si="0"/>
        <v>100</v>
      </c>
      <c r="E12" s="43">
        <v>2</v>
      </c>
      <c r="F12" s="44">
        <f t="shared" si="1"/>
        <v>100</v>
      </c>
      <c r="G12" s="6" t="s">
        <v>128</v>
      </c>
      <c r="H12" s="44" t="s">
        <v>128</v>
      </c>
      <c r="I12" s="6" t="s">
        <v>128</v>
      </c>
      <c r="J12" s="44" t="s">
        <v>128</v>
      </c>
      <c r="K12" s="43">
        <v>0</v>
      </c>
      <c r="L12" s="44">
        <f t="shared" si="2"/>
        <v>0</v>
      </c>
      <c r="M12" s="43">
        <v>0</v>
      </c>
      <c r="N12" s="44">
        <f t="shared" si="3"/>
        <v>0</v>
      </c>
      <c r="O12" s="43">
        <v>0</v>
      </c>
      <c r="P12" s="44">
        <f t="shared" si="4"/>
        <v>0</v>
      </c>
      <c r="Q12" s="6" t="s">
        <v>128</v>
      </c>
      <c r="R12" s="44" t="s">
        <v>128</v>
      </c>
    </row>
    <row r="13" spans="1:18" x14ac:dyDescent="0.35">
      <c r="A13" t="s">
        <v>129</v>
      </c>
      <c r="B13" s="43">
        <v>1</v>
      </c>
      <c r="C13" s="43">
        <v>1</v>
      </c>
      <c r="D13" s="44">
        <f t="shared" si="0"/>
        <v>100</v>
      </c>
      <c r="E13" s="43">
        <v>1</v>
      </c>
      <c r="F13" s="44">
        <f t="shared" si="1"/>
        <v>100</v>
      </c>
      <c r="G13" s="6">
        <v>0</v>
      </c>
      <c r="H13" s="44">
        <f t="shared" si="5"/>
        <v>0</v>
      </c>
      <c r="I13" s="6">
        <v>0</v>
      </c>
      <c r="J13" s="44">
        <f t="shared" si="6"/>
        <v>0</v>
      </c>
      <c r="K13" s="43">
        <v>0</v>
      </c>
      <c r="L13" s="44">
        <f t="shared" si="2"/>
        <v>0</v>
      </c>
      <c r="M13" s="43">
        <v>0</v>
      </c>
      <c r="N13" s="44">
        <f t="shared" si="3"/>
        <v>0</v>
      </c>
      <c r="O13" s="43">
        <v>0</v>
      </c>
      <c r="P13" s="44">
        <f t="shared" si="4"/>
        <v>0</v>
      </c>
      <c r="Q13" s="6">
        <v>0</v>
      </c>
      <c r="R13" s="44">
        <f>(Q13/B13)*100</f>
        <v>0</v>
      </c>
    </row>
    <row r="14" spans="1:18" x14ac:dyDescent="0.35">
      <c r="A14" t="s">
        <v>130</v>
      </c>
      <c r="B14" s="43">
        <v>41</v>
      </c>
      <c r="C14" s="43">
        <v>41</v>
      </c>
      <c r="D14" s="44">
        <f t="shared" si="0"/>
        <v>100</v>
      </c>
      <c r="E14" s="43">
        <v>40</v>
      </c>
      <c r="F14" s="44">
        <f t="shared" si="1"/>
        <v>97.560975609756099</v>
      </c>
      <c r="G14" s="6">
        <v>14</v>
      </c>
      <c r="H14" s="44">
        <f t="shared" si="5"/>
        <v>34.146341463414636</v>
      </c>
      <c r="I14" s="6">
        <v>0</v>
      </c>
      <c r="J14" s="44">
        <f t="shared" si="6"/>
        <v>0</v>
      </c>
      <c r="K14" s="43">
        <v>1</v>
      </c>
      <c r="L14" s="44">
        <f t="shared" si="2"/>
        <v>2.4390243902439024</v>
      </c>
      <c r="M14" s="43">
        <v>0</v>
      </c>
      <c r="N14" s="44">
        <f t="shared" si="3"/>
        <v>0</v>
      </c>
      <c r="O14" s="43">
        <v>0</v>
      </c>
      <c r="P14" s="44">
        <f t="shared" si="4"/>
        <v>0</v>
      </c>
      <c r="Q14" s="6">
        <v>0</v>
      </c>
      <c r="R14" s="44">
        <f>(Q14/B14)*100</f>
        <v>0</v>
      </c>
    </row>
    <row r="15" spans="1:18" x14ac:dyDescent="0.35">
      <c r="A15" t="s">
        <v>131</v>
      </c>
      <c r="B15" s="43">
        <v>2</v>
      </c>
      <c r="C15" s="43">
        <v>2</v>
      </c>
      <c r="D15" s="44">
        <f t="shared" si="0"/>
        <v>100</v>
      </c>
      <c r="E15" s="43">
        <v>1</v>
      </c>
      <c r="F15" s="44">
        <f t="shared" si="1"/>
        <v>50</v>
      </c>
      <c r="G15" s="6">
        <v>0</v>
      </c>
      <c r="H15" s="44">
        <f t="shared" si="5"/>
        <v>0</v>
      </c>
      <c r="I15" s="6">
        <v>0</v>
      </c>
      <c r="J15" s="44">
        <f t="shared" si="6"/>
        <v>0</v>
      </c>
      <c r="K15" s="43">
        <v>1</v>
      </c>
      <c r="L15" s="44">
        <f t="shared" si="2"/>
        <v>50</v>
      </c>
      <c r="M15" s="43">
        <v>0</v>
      </c>
      <c r="N15" s="44">
        <f t="shared" si="3"/>
        <v>0</v>
      </c>
      <c r="O15" s="43">
        <v>0</v>
      </c>
      <c r="P15" s="44">
        <f t="shared" si="4"/>
        <v>0</v>
      </c>
      <c r="Q15" s="6">
        <v>0</v>
      </c>
      <c r="R15" s="44">
        <f>(Q15/B15)*100</f>
        <v>0</v>
      </c>
    </row>
    <row r="16" spans="1:18" x14ac:dyDescent="0.35">
      <c r="A16" t="s">
        <v>157</v>
      </c>
      <c r="B16" s="43">
        <v>30</v>
      </c>
      <c r="C16" s="43">
        <v>30</v>
      </c>
      <c r="D16" s="44">
        <f t="shared" si="0"/>
        <v>100</v>
      </c>
      <c r="E16" s="43">
        <v>29</v>
      </c>
      <c r="F16" s="44">
        <f t="shared" si="1"/>
        <v>96.666666666666671</v>
      </c>
      <c r="G16" s="6" t="s">
        <v>128</v>
      </c>
      <c r="H16" s="44" t="s">
        <v>128</v>
      </c>
      <c r="I16" s="6" t="s">
        <v>128</v>
      </c>
      <c r="J16" s="44" t="s">
        <v>128</v>
      </c>
      <c r="K16" s="43">
        <v>1</v>
      </c>
      <c r="L16" s="44">
        <f t="shared" si="2"/>
        <v>3.3333333333333335</v>
      </c>
      <c r="M16" s="43">
        <v>0</v>
      </c>
      <c r="N16" s="44">
        <f t="shared" si="3"/>
        <v>0</v>
      </c>
      <c r="O16" s="43">
        <v>0</v>
      </c>
      <c r="P16" s="44">
        <f t="shared" si="4"/>
        <v>0</v>
      </c>
      <c r="Q16" s="6" t="s">
        <v>128</v>
      </c>
      <c r="R16" s="44" t="s">
        <v>128</v>
      </c>
    </row>
    <row r="17" spans="1:18" x14ac:dyDescent="0.35">
      <c r="A17" t="s">
        <v>133</v>
      </c>
      <c r="B17" s="43">
        <v>10</v>
      </c>
      <c r="C17" s="43">
        <v>10</v>
      </c>
      <c r="D17" s="44">
        <f t="shared" si="0"/>
        <v>100</v>
      </c>
      <c r="E17" s="43">
        <v>9</v>
      </c>
      <c r="F17" s="44">
        <f t="shared" si="1"/>
        <v>90</v>
      </c>
      <c r="G17" s="6">
        <v>3</v>
      </c>
      <c r="H17" s="44">
        <f t="shared" si="5"/>
        <v>30</v>
      </c>
      <c r="I17" s="6">
        <v>0</v>
      </c>
      <c r="J17" s="44">
        <f t="shared" si="6"/>
        <v>0</v>
      </c>
      <c r="K17" s="43">
        <v>1</v>
      </c>
      <c r="L17" s="44">
        <f t="shared" si="2"/>
        <v>10</v>
      </c>
      <c r="M17" s="43">
        <v>0</v>
      </c>
      <c r="N17" s="44">
        <f t="shared" si="3"/>
        <v>0</v>
      </c>
      <c r="O17" s="43">
        <v>0</v>
      </c>
      <c r="P17" s="44">
        <f t="shared" si="4"/>
        <v>0</v>
      </c>
      <c r="Q17" s="6">
        <v>0</v>
      </c>
      <c r="R17" s="44">
        <f>(Q17/B17)*100</f>
        <v>0</v>
      </c>
    </row>
    <row r="18" spans="1:18" x14ac:dyDescent="0.35">
      <c r="A18" t="s">
        <v>134</v>
      </c>
      <c r="B18" s="43">
        <v>8</v>
      </c>
      <c r="C18" s="43">
        <v>8</v>
      </c>
      <c r="D18" s="44">
        <f t="shared" si="0"/>
        <v>100</v>
      </c>
      <c r="E18" s="43">
        <v>8</v>
      </c>
      <c r="F18" s="44">
        <f t="shared" si="1"/>
        <v>100</v>
      </c>
      <c r="G18" s="6">
        <v>1</v>
      </c>
      <c r="H18" s="44">
        <f t="shared" si="5"/>
        <v>12.5</v>
      </c>
      <c r="I18" s="6">
        <v>0</v>
      </c>
      <c r="J18" s="44">
        <f t="shared" si="6"/>
        <v>0</v>
      </c>
      <c r="K18" s="43">
        <v>0</v>
      </c>
      <c r="L18" s="44">
        <f t="shared" si="2"/>
        <v>0</v>
      </c>
      <c r="M18" s="43">
        <v>0</v>
      </c>
      <c r="N18" s="44">
        <f t="shared" si="3"/>
        <v>0</v>
      </c>
      <c r="O18" s="43">
        <v>0</v>
      </c>
      <c r="P18" s="44">
        <f t="shared" si="4"/>
        <v>0</v>
      </c>
      <c r="Q18" s="6">
        <v>0</v>
      </c>
      <c r="R18" s="44">
        <f>(Q18/B18)*100</f>
        <v>0</v>
      </c>
    </row>
    <row r="19" spans="1:18" x14ac:dyDescent="0.35">
      <c r="A19" t="s">
        <v>135</v>
      </c>
      <c r="B19" s="43">
        <v>4</v>
      </c>
      <c r="C19" s="43">
        <v>4</v>
      </c>
      <c r="D19" s="44">
        <f t="shared" si="0"/>
        <v>100</v>
      </c>
      <c r="E19" s="43">
        <v>2</v>
      </c>
      <c r="F19" s="44">
        <f t="shared" si="1"/>
        <v>50</v>
      </c>
      <c r="G19" s="6">
        <v>0</v>
      </c>
      <c r="H19" s="44">
        <f t="shared" si="5"/>
        <v>0</v>
      </c>
      <c r="I19" s="6">
        <v>0</v>
      </c>
      <c r="J19" s="44">
        <f t="shared" si="6"/>
        <v>0</v>
      </c>
      <c r="K19" s="43">
        <v>2</v>
      </c>
      <c r="L19" s="44">
        <f t="shared" si="2"/>
        <v>50</v>
      </c>
      <c r="M19" s="43">
        <v>0</v>
      </c>
      <c r="N19" s="44">
        <f t="shared" si="3"/>
        <v>0</v>
      </c>
      <c r="O19" s="43">
        <v>0</v>
      </c>
      <c r="P19" s="44">
        <f t="shared" si="4"/>
        <v>0</v>
      </c>
      <c r="Q19" s="6">
        <v>0</v>
      </c>
      <c r="R19" s="44">
        <f>(Q19/B19)*100</f>
        <v>0</v>
      </c>
    </row>
    <row r="20" spans="1:18" x14ac:dyDescent="0.35">
      <c r="A20" t="s">
        <v>136</v>
      </c>
      <c r="B20" s="43">
        <v>5</v>
      </c>
      <c r="C20" s="43">
        <v>5</v>
      </c>
      <c r="D20" s="44">
        <f t="shared" si="0"/>
        <v>100</v>
      </c>
      <c r="E20" s="43">
        <v>5</v>
      </c>
      <c r="F20" s="44">
        <f t="shared" si="1"/>
        <v>100</v>
      </c>
      <c r="G20" s="6">
        <v>0</v>
      </c>
      <c r="H20" s="44">
        <f t="shared" si="5"/>
        <v>0</v>
      </c>
      <c r="I20" s="6">
        <v>0</v>
      </c>
      <c r="J20" s="44">
        <f t="shared" si="6"/>
        <v>0</v>
      </c>
      <c r="K20" s="43">
        <v>0</v>
      </c>
      <c r="L20" s="44">
        <f t="shared" si="2"/>
        <v>0</v>
      </c>
      <c r="M20" s="43">
        <v>0</v>
      </c>
      <c r="N20" s="44">
        <f t="shared" si="3"/>
        <v>0</v>
      </c>
      <c r="O20" s="43">
        <v>0</v>
      </c>
      <c r="P20" s="44">
        <f t="shared" si="4"/>
        <v>0</v>
      </c>
      <c r="Q20" s="6">
        <v>0</v>
      </c>
      <c r="R20" s="44">
        <f>(Q20/B20)*100</f>
        <v>0</v>
      </c>
    </row>
    <row r="21" spans="1:18" x14ac:dyDescent="0.35">
      <c r="A21" t="s">
        <v>137</v>
      </c>
      <c r="B21" s="43">
        <v>1</v>
      </c>
      <c r="C21" s="43">
        <v>1</v>
      </c>
      <c r="D21" s="44">
        <f t="shared" si="0"/>
        <v>100</v>
      </c>
      <c r="E21" s="43">
        <v>1</v>
      </c>
      <c r="F21" s="44">
        <f t="shared" si="1"/>
        <v>100</v>
      </c>
      <c r="G21" s="6" t="s">
        <v>128</v>
      </c>
      <c r="H21" s="44" t="s">
        <v>128</v>
      </c>
      <c r="I21" s="6" t="s">
        <v>128</v>
      </c>
      <c r="J21" s="44" t="s">
        <v>128</v>
      </c>
      <c r="K21" s="43">
        <v>0</v>
      </c>
      <c r="L21" s="44">
        <f t="shared" si="2"/>
        <v>0</v>
      </c>
      <c r="M21" s="43">
        <v>0</v>
      </c>
      <c r="N21" s="44">
        <f t="shared" si="3"/>
        <v>0</v>
      </c>
      <c r="O21" s="43">
        <v>0</v>
      </c>
      <c r="P21" s="44">
        <f t="shared" si="4"/>
        <v>0</v>
      </c>
      <c r="Q21" s="6" t="s">
        <v>128</v>
      </c>
      <c r="R21" s="44" t="s">
        <v>128</v>
      </c>
    </row>
    <row r="22" spans="1:18" x14ac:dyDescent="0.35">
      <c r="A22" t="s">
        <v>138</v>
      </c>
      <c r="B22" s="43">
        <v>13</v>
      </c>
      <c r="C22" s="43">
        <v>13</v>
      </c>
      <c r="D22" s="44">
        <f t="shared" si="0"/>
        <v>100</v>
      </c>
      <c r="E22" s="43">
        <v>11</v>
      </c>
      <c r="F22" s="44">
        <f t="shared" si="1"/>
        <v>84.615384615384613</v>
      </c>
      <c r="G22" s="6">
        <v>2</v>
      </c>
      <c r="H22" s="44">
        <f t="shared" si="5"/>
        <v>15.384615384615385</v>
      </c>
      <c r="I22" s="6">
        <v>0</v>
      </c>
      <c r="J22" s="44">
        <f t="shared" si="6"/>
        <v>0</v>
      </c>
      <c r="K22" s="43">
        <v>2</v>
      </c>
      <c r="L22" s="44">
        <f t="shared" si="2"/>
        <v>15.384615384615385</v>
      </c>
      <c r="M22" s="43">
        <v>0</v>
      </c>
      <c r="N22" s="44">
        <f t="shared" si="3"/>
        <v>0</v>
      </c>
      <c r="O22" s="43">
        <v>0</v>
      </c>
      <c r="P22" s="44">
        <f t="shared" si="4"/>
        <v>0</v>
      </c>
      <c r="Q22" s="6">
        <v>0</v>
      </c>
      <c r="R22" s="44">
        <f t="shared" ref="R22:R27" si="7">(Q22/B22)*100</f>
        <v>0</v>
      </c>
    </row>
    <row r="23" spans="1:18" x14ac:dyDescent="0.35">
      <c r="A23" t="s">
        <v>139</v>
      </c>
      <c r="B23" s="43">
        <v>32</v>
      </c>
      <c r="C23" s="43">
        <v>32</v>
      </c>
      <c r="D23" s="44">
        <f t="shared" si="0"/>
        <v>100</v>
      </c>
      <c r="E23" s="43">
        <v>25</v>
      </c>
      <c r="F23" s="44">
        <f t="shared" si="1"/>
        <v>78.125</v>
      </c>
      <c r="G23" s="6">
        <v>5</v>
      </c>
      <c r="H23" s="44">
        <f t="shared" si="5"/>
        <v>15.625</v>
      </c>
      <c r="I23" s="6">
        <v>0</v>
      </c>
      <c r="J23" s="44">
        <f t="shared" si="6"/>
        <v>0</v>
      </c>
      <c r="K23" s="43">
        <v>4</v>
      </c>
      <c r="L23" s="44">
        <f t="shared" si="2"/>
        <v>12.5</v>
      </c>
      <c r="M23" s="43">
        <v>3</v>
      </c>
      <c r="N23" s="44">
        <f t="shared" si="3"/>
        <v>9.375</v>
      </c>
      <c r="O23" s="43">
        <v>0</v>
      </c>
      <c r="P23" s="44">
        <f t="shared" si="4"/>
        <v>0</v>
      </c>
      <c r="Q23" s="6">
        <v>0</v>
      </c>
      <c r="R23" s="44">
        <f t="shared" si="7"/>
        <v>0</v>
      </c>
    </row>
    <row r="24" spans="1:18" x14ac:dyDescent="0.35">
      <c r="A24" t="s">
        <v>140</v>
      </c>
      <c r="B24" s="43">
        <v>24</v>
      </c>
      <c r="C24" s="43">
        <v>24</v>
      </c>
      <c r="D24" s="44">
        <f t="shared" si="0"/>
        <v>100</v>
      </c>
      <c r="E24" s="43">
        <v>23</v>
      </c>
      <c r="F24" s="44">
        <f t="shared" si="1"/>
        <v>95.833333333333343</v>
      </c>
      <c r="G24" s="6">
        <v>1</v>
      </c>
      <c r="H24" s="44">
        <f t="shared" si="5"/>
        <v>4.1666666666666661</v>
      </c>
      <c r="I24" s="6">
        <v>0</v>
      </c>
      <c r="J24" s="44">
        <f t="shared" si="6"/>
        <v>0</v>
      </c>
      <c r="K24" s="43">
        <v>1</v>
      </c>
      <c r="L24" s="44">
        <f t="shared" si="2"/>
        <v>4.1666666666666661</v>
      </c>
      <c r="M24" s="43">
        <v>0</v>
      </c>
      <c r="N24" s="44">
        <f t="shared" si="3"/>
        <v>0</v>
      </c>
      <c r="O24" s="43">
        <v>0</v>
      </c>
      <c r="P24" s="44">
        <f t="shared" si="4"/>
        <v>0</v>
      </c>
      <c r="Q24" s="6">
        <v>0</v>
      </c>
      <c r="R24" s="44">
        <f t="shared" si="7"/>
        <v>0</v>
      </c>
    </row>
    <row r="25" spans="1:18" x14ac:dyDescent="0.35">
      <c r="A25" t="s">
        <v>141</v>
      </c>
      <c r="B25" s="43">
        <v>1</v>
      </c>
      <c r="C25" s="43">
        <v>1</v>
      </c>
      <c r="D25" s="44">
        <f t="shared" si="0"/>
        <v>100</v>
      </c>
      <c r="E25" s="43">
        <v>1</v>
      </c>
      <c r="F25" s="44">
        <f t="shared" si="1"/>
        <v>100</v>
      </c>
      <c r="G25" s="6">
        <v>0</v>
      </c>
      <c r="H25" s="44">
        <f t="shared" si="5"/>
        <v>0</v>
      </c>
      <c r="I25" s="6">
        <v>0</v>
      </c>
      <c r="J25" s="44">
        <f t="shared" si="6"/>
        <v>0</v>
      </c>
      <c r="K25" s="43">
        <v>0</v>
      </c>
      <c r="L25" s="44">
        <f t="shared" si="2"/>
        <v>0</v>
      </c>
      <c r="M25" s="43">
        <v>0</v>
      </c>
      <c r="N25" s="44">
        <f t="shared" si="3"/>
        <v>0</v>
      </c>
      <c r="O25" s="43">
        <v>0</v>
      </c>
      <c r="P25" s="44">
        <f t="shared" si="4"/>
        <v>0</v>
      </c>
      <c r="Q25" s="6">
        <v>0</v>
      </c>
      <c r="R25" s="44">
        <f t="shared" si="7"/>
        <v>0</v>
      </c>
    </row>
    <row r="26" spans="1:18" x14ac:dyDescent="0.35">
      <c r="A26" t="s">
        <v>142</v>
      </c>
      <c r="B26" s="43">
        <v>13</v>
      </c>
      <c r="C26" s="43">
        <v>13</v>
      </c>
      <c r="D26" s="44">
        <f t="shared" si="0"/>
        <v>100</v>
      </c>
      <c r="E26" s="43">
        <v>6</v>
      </c>
      <c r="F26" s="44">
        <f t="shared" si="1"/>
        <v>46.153846153846153</v>
      </c>
      <c r="G26" s="6">
        <v>3</v>
      </c>
      <c r="H26" s="44">
        <f t="shared" si="5"/>
        <v>23.076923076923077</v>
      </c>
      <c r="I26" s="6">
        <v>0</v>
      </c>
      <c r="J26" s="44">
        <f t="shared" si="6"/>
        <v>0</v>
      </c>
      <c r="K26" s="43">
        <v>7</v>
      </c>
      <c r="L26" s="44">
        <f t="shared" si="2"/>
        <v>53.846153846153847</v>
      </c>
      <c r="M26" s="43">
        <v>0</v>
      </c>
      <c r="N26" s="44">
        <f t="shared" si="3"/>
        <v>0</v>
      </c>
      <c r="O26" s="43">
        <v>0</v>
      </c>
      <c r="P26" s="44">
        <f t="shared" si="4"/>
        <v>0</v>
      </c>
      <c r="Q26" s="6">
        <v>0</v>
      </c>
      <c r="R26" s="44">
        <f t="shared" si="7"/>
        <v>0</v>
      </c>
    </row>
    <row r="27" spans="1:18" x14ac:dyDescent="0.35">
      <c r="A27" t="s">
        <v>143</v>
      </c>
      <c r="B27" s="43">
        <v>11</v>
      </c>
      <c r="C27" s="43">
        <v>11</v>
      </c>
      <c r="D27" s="44">
        <f t="shared" si="0"/>
        <v>100</v>
      </c>
      <c r="E27" s="43">
        <v>9</v>
      </c>
      <c r="F27" s="44">
        <f t="shared" si="1"/>
        <v>81.818181818181827</v>
      </c>
      <c r="G27" s="6">
        <v>1</v>
      </c>
      <c r="H27" s="44">
        <f t="shared" si="5"/>
        <v>9.0909090909090917</v>
      </c>
      <c r="I27" s="6">
        <v>0</v>
      </c>
      <c r="J27" s="44">
        <f t="shared" si="6"/>
        <v>0</v>
      </c>
      <c r="K27" s="43">
        <v>0</v>
      </c>
      <c r="L27" s="44">
        <f t="shared" si="2"/>
        <v>0</v>
      </c>
      <c r="M27" s="43">
        <v>2</v>
      </c>
      <c r="N27" s="44">
        <f t="shared" si="3"/>
        <v>18.181818181818183</v>
      </c>
      <c r="O27" s="43">
        <v>0</v>
      </c>
      <c r="P27" s="44">
        <f t="shared" si="4"/>
        <v>0</v>
      </c>
      <c r="Q27" s="6">
        <v>0</v>
      </c>
      <c r="R27" s="44">
        <f t="shared" si="7"/>
        <v>0</v>
      </c>
    </row>
    <row r="28" spans="1:18" ht="15" thickBot="1" x14ac:dyDescent="0.4">
      <c r="A28" s="3" t="s">
        <v>700</v>
      </c>
      <c r="B28" s="66">
        <v>2</v>
      </c>
      <c r="C28" s="66">
        <v>2</v>
      </c>
      <c r="D28" s="65">
        <f t="shared" si="0"/>
        <v>100</v>
      </c>
      <c r="E28" s="66">
        <v>2</v>
      </c>
      <c r="F28" s="65">
        <f t="shared" si="1"/>
        <v>100</v>
      </c>
      <c r="G28" s="64" t="s">
        <v>128</v>
      </c>
      <c r="H28" s="65" t="s">
        <v>128</v>
      </c>
      <c r="I28" s="64" t="s">
        <v>128</v>
      </c>
      <c r="J28" s="65" t="s">
        <v>128</v>
      </c>
      <c r="K28" s="66">
        <v>0</v>
      </c>
      <c r="L28" s="65">
        <f t="shared" si="2"/>
        <v>0</v>
      </c>
      <c r="M28" s="66">
        <v>0</v>
      </c>
      <c r="N28" s="65">
        <f t="shared" si="3"/>
        <v>0</v>
      </c>
      <c r="O28" s="66">
        <v>0</v>
      </c>
      <c r="P28" s="65">
        <f t="shared" si="4"/>
        <v>0</v>
      </c>
      <c r="Q28" s="64" t="s">
        <v>128</v>
      </c>
      <c r="R28" s="65" t="s">
        <v>128</v>
      </c>
    </row>
    <row r="29" spans="1:18" ht="15" thickBot="1" x14ac:dyDescent="0.4">
      <c r="A29" s="79" t="s">
        <v>1001</v>
      </c>
      <c r="B29" s="93">
        <f>SUM(B3:B28)</f>
        <v>271</v>
      </c>
      <c r="C29" s="93">
        <f>SUM(C3:C28)</f>
        <v>270</v>
      </c>
      <c r="D29" s="94">
        <f t="shared" si="0"/>
        <v>99.630996309963109</v>
      </c>
      <c r="E29" s="93">
        <f>SUM(E3:E28)</f>
        <v>235</v>
      </c>
      <c r="F29" s="94">
        <f t="shared" si="1"/>
        <v>86.715867158671585</v>
      </c>
      <c r="G29" s="85">
        <f>SUM(G3:G28)</f>
        <v>34</v>
      </c>
      <c r="H29" s="94">
        <f>(G29/B29)*100</f>
        <v>12.546125461254611</v>
      </c>
      <c r="I29" s="85">
        <f>SUM(I3:I28)</f>
        <v>0</v>
      </c>
      <c r="J29" s="94">
        <f>(I29/B29)*100</f>
        <v>0</v>
      </c>
      <c r="K29" s="93">
        <f>SUM(K3:K28)</f>
        <v>29</v>
      </c>
      <c r="L29" s="94">
        <f t="shared" si="2"/>
        <v>10.701107011070111</v>
      </c>
      <c r="M29" s="93">
        <f>SUM(M3:M28)</f>
        <v>6</v>
      </c>
      <c r="N29" s="94">
        <f t="shared" si="3"/>
        <v>2.214022140221402</v>
      </c>
      <c r="O29" s="93">
        <f>SUM(O3:O28)</f>
        <v>0</v>
      </c>
      <c r="P29" s="94">
        <f t="shared" si="4"/>
        <v>0</v>
      </c>
      <c r="Q29" s="85">
        <f>SUM(Q3:Q28)</f>
        <v>0</v>
      </c>
      <c r="R29" s="94">
        <f>(Q29/B29)*100</f>
        <v>0</v>
      </c>
    </row>
    <row r="30" spans="1:18" ht="15" thickBot="1" x14ac:dyDescent="0.4">
      <c r="A30" s="69" t="s">
        <v>150</v>
      </c>
      <c r="B30" s="70">
        <v>2</v>
      </c>
      <c r="C30" s="70">
        <v>2</v>
      </c>
      <c r="D30" s="53">
        <f t="shared" si="0"/>
        <v>100</v>
      </c>
      <c r="E30" s="70">
        <v>2</v>
      </c>
      <c r="F30" s="53">
        <f t="shared" si="1"/>
        <v>100</v>
      </c>
      <c r="G30" s="54">
        <v>0</v>
      </c>
      <c r="H30" s="53">
        <f t="shared" si="5"/>
        <v>0</v>
      </c>
      <c r="I30" s="54">
        <v>0</v>
      </c>
      <c r="J30" s="53">
        <f t="shared" si="6"/>
        <v>0</v>
      </c>
      <c r="K30" s="70">
        <v>0</v>
      </c>
      <c r="L30" s="53">
        <f t="shared" si="2"/>
        <v>0</v>
      </c>
      <c r="M30" s="70">
        <v>0</v>
      </c>
      <c r="N30" s="53">
        <f t="shared" si="3"/>
        <v>0</v>
      </c>
      <c r="O30" s="70">
        <v>0</v>
      </c>
      <c r="P30" s="53">
        <f t="shared" si="4"/>
        <v>0</v>
      </c>
      <c r="Q30" s="54">
        <v>0</v>
      </c>
      <c r="R30" s="44">
        <f>(Q30/B30)*100</f>
        <v>0</v>
      </c>
    </row>
    <row r="31" spans="1:18" s="8" customFormat="1" ht="15" thickBot="1" x14ac:dyDescent="0.4">
      <c r="A31" s="80" t="s">
        <v>600</v>
      </c>
      <c r="B31" s="90">
        <v>2</v>
      </c>
      <c r="C31" s="90">
        <v>2</v>
      </c>
      <c r="D31" s="81">
        <f t="shared" ref="D31" si="8">(C31/B31)*100</f>
        <v>100</v>
      </c>
      <c r="E31" s="90">
        <v>2</v>
      </c>
      <c r="F31" s="81">
        <f t="shared" ref="F31" si="9">(E31/B31)*100</f>
        <v>100</v>
      </c>
      <c r="G31" s="82">
        <v>0</v>
      </c>
      <c r="H31" s="81">
        <f t="shared" ref="H31" si="10">(G31/B31)*100</f>
        <v>0</v>
      </c>
      <c r="I31" s="82">
        <v>0</v>
      </c>
      <c r="J31" s="81">
        <f t="shared" ref="J31" si="11">(I31/B31)*100</f>
        <v>0</v>
      </c>
      <c r="K31" s="90">
        <v>0</v>
      </c>
      <c r="L31" s="81">
        <f t="shared" ref="L31" si="12">(K31/B31)*100</f>
        <v>0</v>
      </c>
      <c r="M31" s="90">
        <v>0</v>
      </c>
      <c r="N31" s="81">
        <f t="shared" ref="N31" si="13">(M31/B31)*100</f>
        <v>0</v>
      </c>
      <c r="O31" s="90">
        <v>0</v>
      </c>
      <c r="P31" s="81">
        <f t="shared" si="4"/>
        <v>0</v>
      </c>
      <c r="Q31" s="82">
        <v>0</v>
      </c>
      <c r="R31" s="81">
        <f>(Q31/B31)*100</f>
        <v>0</v>
      </c>
    </row>
    <row r="32" spans="1:18" ht="15" thickBot="1" x14ac:dyDescent="0.4">
      <c r="A32" s="79" t="s">
        <v>1000</v>
      </c>
      <c r="B32" s="93">
        <v>273</v>
      </c>
      <c r="C32" s="93">
        <v>272</v>
      </c>
      <c r="D32" s="94">
        <f t="shared" si="0"/>
        <v>99.633699633699635</v>
      </c>
      <c r="E32" s="93">
        <v>237</v>
      </c>
      <c r="F32" s="94">
        <f t="shared" si="1"/>
        <v>86.813186813186817</v>
      </c>
      <c r="G32" s="85">
        <v>34</v>
      </c>
      <c r="H32" s="94">
        <f>(G32/B32)*100</f>
        <v>12.454212454212454</v>
      </c>
      <c r="I32" s="85">
        <v>0</v>
      </c>
      <c r="J32" s="94">
        <f>(I32/B32)*100</f>
        <v>0</v>
      </c>
      <c r="K32" s="93">
        <v>29</v>
      </c>
      <c r="L32" s="94">
        <f t="shared" si="2"/>
        <v>10.622710622710622</v>
      </c>
      <c r="M32" s="93">
        <v>6</v>
      </c>
      <c r="N32" s="94">
        <f t="shared" si="3"/>
        <v>2.197802197802198</v>
      </c>
      <c r="O32" s="93">
        <v>0</v>
      </c>
      <c r="P32" s="94">
        <f t="shared" si="4"/>
        <v>0</v>
      </c>
      <c r="Q32" s="85">
        <v>0</v>
      </c>
      <c r="R32" s="94">
        <f>(Q32/B32)*100</f>
        <v>0</v>
      </c>
    </row>
    <row r="34" spans="1:1" x14ac:dyDescent="0.35">
      <c r="A34" t="s">
        <v>970</v>
      </c>
    </row>
  </sheetData>
  <mergeCells count="10">
    <mergeCell ref="Q1:R1"/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honeticPr fontId="21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27">
    <tabColor theme="9" tint="0.79998168889431442"/>
  </sheetPr>
  <dimension ref="A1:S50"/>
  <sheetViews>
    <sheetView zoomScale="80" zoomScaleNormal="80" workbookViewId="0">
      <pane xSplit="1" ySplit="3" topLeftCell="B13" activePane="bottomRight" state="frozen"/>
      <selection pane="topRight" activeCell="B1" sqref="B1"/>
      <selection pane="bottomLeft" activeCell="A4" sqref="A4"/>
      <selection pane="bottomRight" activeCell="B40" sqref="B40:G44"/>
    </sheetView>
  </sheetViews>
  <sheetFormatPr defaultColWidth="11.453125" defaultRowHeight="14.5" x14ac:dyDescent="0.35"/>
  <cols>
    <col min="1" max="1" width="32.54296875" style="4" customWidth="1"/>
    <col min="2" max="17" width="12.81640625" style="4" customWidth="1"/>
    <col min="18" max="16384" width="11.453125" style="4"/>
  </cols>
  <sheetData>
    <row r="1" spans="1:17" ht="15" thickBot="1" x14ac:dyDescent="0.4">
      <c r="A1" s="263" t="s">
        <v>108</v>
      </c>
      <c r="B1" s="228" t="s">
        <v>1025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</row>
    <row r="2" spans="1:17" ht="38.25" customHeight="1" thickBot="1" x14ac:dyDescent="0.4">
      <c r="A2" s="263"/>
      <c r="B2" s="272" t="s">
        <v>1002</v>
      </c>
      <c r="C2" s="272"/>
      <c r="D2" s="273" t="s">
        <v>1003</v>
      </c>
      <c r="E2" s="273"/>
      <c r="F2" s="272" t="s">
        <v>1004</v>
      </c>
      <c r="G2" s="272"/>
      <c r="H2" s="273" t="s">
        <v>1005</v>
      </c>
      <c r="I2" s="273"/>
      <c r="J2" s="272" t="s">
        <v>1006</v>
      </c>
      <c r="K2" s="272"/>
      <c r="L2" s="273" t="s">
        <v>1007</v>
      </c>
      <c r="M2" s="273"/>
      <c r="N2" s="272" t="s">
        <v>1008</v>
      </c>
      <c r="O2" s="272"/>
      <c r="P2" s="273" t="s">
        <v>1009</v>
      </c>
      <c r="Q2" s="273"/>
    </row>
    <row r="3" spans="1:17" ht="15" thickBot="1" x14ac:dyDescent="0.4">
      <c r="A3" s="230"/>
      <c r="B3" s="76" t="s">
        <v>155</v>
      </c>
      <c r="C3" s="76" t="s">
        <v>1010</v>
      </c>
      <c r="D3" s="76" t="s">
        <v>155</v>
      </c>
      <c r="E3" s="76" t="s">
        <v>1010</v>
      </c>
      <c r="F3" s="76" t="s">
        <v>155</v>
      </c>
      <c r="G3" s="76" t="s">
        <v>1010</v>
      </c>
      <c r="H3" s="76" t="s">
        <v>155</v>
      </c>
      <c r="I3" s="76" t="s">
        <v>1010</v>
      </c>
      <c r="J3" s="76" t="s">
        <v>155</v>
      </c>
      <c r="K3" s="76" t="s">
        <v>1010</v>
      </c>
      <c r="L3" s="76" t="s">
        <v>155</v>
      </c>
      <c r="M3" s="76" t="s">
        <v>1010</v>
      </c>
      <c r="N3" s="76" t="s">
        <v>155</v>
      </c>
      <c r="O3" s="76" t="s">
        <v>1010</v>
      </c>
      <c r="P3" s="76" t="s">
        <v>155</v>
      </c>
      <c r="Q3" s="76" t="s">
        <v>1010</v>
      </c>
    </row>
    <row r="4" spans="1:17" x14ac:dyDescent="0.35">
      <c r="A4" s="4" t="s">
        <v>116</v>
      </c>
      <c r="B4" s="47">
        <v>313</v>
      </c>
      <c r="C4" s="47">
        <v>0</v>
      </c>
      <c r="D4" s="47">
        <v>325</v>
      </c>
      <c r="E4" s="51">
        <v>0</v>
      </c>
      <c r="F4" s="51">
        <v>159</v>
      </c>
      <c r="G4" s="51" t="s">
        <v>128</v>
      </c>
      <c r="H4" s="51">
        <v>173</v>
      </c>
      <c r="I4" s="51" t="s">
        <v>128</v>
      </c>
      <c r="J4" s="51">
        <v>297</v>
      </c>
      <c r="K4" s="51">
        <v>0</v>
      </c>
      <c r="L4" s="51">
        <v>319</v>
      </c>
      <c r="M4" s="51">
        <v>0</v>
      </c>
      <c r="N4" s="51">
        <v>274</v>
      </c>
      <c r="O4" s="51">
        <v>0</v>
      </c>
      <c r="P4" s="51">
        <v>309</v>
      </c>
      <c r="Q4" s="51">
        <v>0</v>
      </c>
    </row>
    <row r="5" spans="1:17" x14ac:dyDescent="0.35">
      <c r="A5" s="4" t="s">
        <v>117</v>
      </c>
      <c r="B5" s="51">
        <v>310</v>
      </c>
      <c r="C5" s="51">
        <v>0</v>
      </c>
      <c r="D5" s="51">
        <v>311</v>
      </c>
      <c r="E5" s="51">
        <v>0</v>
      </c>
      <c r="F5" s="51" t="s">
        <v>128</v>
      </c>
      <c r="G5" s="7" t="s">
        <v>128</v>
      </c>
      <c r="H5" s="51">
        <v>156</v>
      </c>
      <c r="I5" s="51" t="s">
        <v>128</v>
      </c>
      <c r="J5" s="51">
        <v>311</v>
      </c>
      <c r="K5" s="51">
        <v>0</v>
      </c>
      <c r="L5" s="51">
        <v>312</v>
      </c>
      <c r="M5" s="51">
        <v>0</v>
      </c>
      <c r="N5" s="51">
        <v>312</v>
      </c>
      <c r="O5" s="51">
        <v>0</v>
      </c>
      <c r="P5" s="51">
        <v>313</v>
      </c>
      <c r="Q5" s="51">
        <v>0</v>
      </c>
    </row>
    <row r="6" spans="1:17" x14ac:dyDescent="0.35">
      <c r="A6" s="4" t="s">
        <v>118</v>
      </c>
      <c r="B6" s="51">
        <v>442</v>
      </c>
      <c r="C6" s="51">
        <v>0</v>
      </c>
      <c r="D6" s="51">
        <v>152</v>
      </c>
      <c r="E6" s="51">
        <v>0</v>
      </c>
      <c r="F6" s="51" t="s">
        <v>128</v>
      </c>
      <c r="G6" s="7" t="s">
        <v>128</v>
      </c>
      <c r="H6" s="51">
        <v>149</v>
      </c>
      <c r="I6" s="7" t="s">
        <v>128</v>
      </c>
      <c r="J6" s="51">
        <v>223</v>
      </c>
      <c r="K6" s="51">
        <v>0</v>
      </c>
      <c r="L6" s="51">
        <v>137</v>
      </c>
      <c r="M6" s="51">
        <v>0</v>
      </c>
      <c r="N6" s="7" t="s">
        <v>128</v>
      </c>
      <c r="O6" s="7" t="s">
        <v>128</v>
      </c>
      <c r="P6" s="51">
        <v>142</v>
      </c>
      <c r="Q6" s="51">
        <v>0</v>
      </c>
    </row>
    <row r="7" spans="1:17" x14ac:dyDescent="0.35">
      <c r="A7" s="4" t="s">
        <v>120</v>
      </c>
      <c r="B7" s="51">
        <v>448</v>
      </c>
      <c r="C7" s="51">
        <v>0</v>
      </c>
      <c r="D7" s="51">
        <v>146</v>
      </c>
      <c r="E7" s="51">
        <v>0</v>
      </c>
      <c r="F7" s="51">
        <v>82</v>
      </c>
      <c r="G7" s="51" t="s">
        <v>128</v>
      </c>
      <c r="H7" s="51">
        <v>117</v>
      </c>
      <c r="I7" s="51" t="s">
        <v>128</v>
      </c>
      <c r="J7" s="51">
        <v>290</v>
      </c>
      <c r="K7" s="51">
        <v>0</v>
      </c>
      <c r="L7" s="51">
        <v>97</v>
      </c>
      <c r="M7" s="51">
        <v>0</v>
      </c>
      <c r="N7" s="51">
        <v>297</v>
      </c>
      <c r="O7" s="51">
        <v>0</v>
      </c>
      <c r="P7" s="51">
        <v>93</v>
      </c>
      <c r="Q7" s="51">
        <v>0</v>
      </c>
    </row>
    <row r="8" spans="1:17" x14ac:dyDescent="0.35">
      <c r="A8" s="4" t="s">
        <v>121</v>
      </c>
      <c r="B8" s="51">
        <v>200</v>
      </c>
      <c r="C8" s="51">
        <v>0</v>
      </c>
      <c r="D8" s="51">
        <v>147</v>
      </c>
      <c r="E8" s="51">
        <v>0</v>
      </c>
      <c r="F8" s="51" t="s">
        <v>128</v>
      </c>
      <c r="G8" s="7" t="s">
        <v>128</v>
      </c>
      <c r="H8" s="51" t="s">
        <v>128</v>
      </c>
      <c r="I8" s="7" t="s">
        <v>128</v>
      </c>
      <c r="J8" s="51">
        <v>81</v>
      </c>
      <c r="K8" s="51">
        <v>0</v>
      </c>
      <c r="L8" s="51">
        <v>155</v>
      </c>
      <c r="M8" s="51">
        <v>0</v>
      </c>
      <c r="N8" s="7" t="s">
        <v>128</v>
      </c>
      <c r="O8" s="7" t="s">
        <v>128</v>
      </c>
      <c r="P8" s="51">
        <v>155</v>
      </c>
      <c r="Q8" s="51">
        <v>0</v>
      </c>
    </row>
    <row r="9" spans="1:17" x14ac:dyDescent="0.35">
      <c r="A9" s="4" t="s">
        <v>204</v>
      </c>
      <c r="B9" s="51">
        <v>308</v>
      </c>
      <c r="C9" s="51">
        <v>0</v>
      </c>
      <c r="D9" s="51">
        <v>295</v>
      </c>
      <c r="E9" s="51">
        <v>0</v>
      </c>
      <c r="F9" s="51" t="s">
        <v>128</v>
      </c>
      <c r="G9" s="7" t="s">
        <v>128</v>
      </c>
      <c r="H9" s="51">
        <v>158</v>
      </c>
      <c r="I9" s="51" t="s">
        <v>128</v>
      </c>
      <c r="J9" s="51">
        <v>317</v>
      </c>
      <c r="K9" s="51">
        <v>5</v>
      </c>
      <c r="L9" s="51">
        <v>297</v>
      </c>
      <c r="M9" s="51">
        <v>0</v>
      </c>
      <c r="N9" s="7" t="s">
        <v>128</v>
      </c>
      <c r="O9" s="7" t="s">
        <v>128</v>
      </c>
      <c r="P9" s="51">
        <v>299</v>
      </c>
      <c r="Q9" s="51">
        <v>0</v>
      </c>
    </row>
    <row r="10" spans="1:17" x14ac:dyDescent="0.35">
      <c r="A10" s="4" t="s">
        <v>123</v>
      </c>
      <c r="B10" s="51">
        <v>714</v>
      </c>
      <c r="C10" s="51">
        <v>0</v>
      </c>
      <c r="D10" s="51">
        <v>324</v>
      </c>
      <c r="E10" s="51">
        <v>0</v>
      </c>
      <c r="F10" s="51" t="s">
        <v>128</v>
      </c>
      <c r="G10" s="7" t="s">
        <v>128</v>
      </c>
      <c r="H10" s="51">
        <v>142</v>
      </c>
      <c r="I10" s="51" t="s">
        <v>128</v>
      </c>
      <c r="J10" s="51">
        <v>296</v>
      </c>
      <c r="K10" s="51">
        <v>0</v>
      </c>
      <c r="L10" s="51">
        <v>340</v>
      </c>
      <c r="M10" s="51">
        <v>0</v>
      </c>
      <c r="N10" s="51">
        <v>312</v>
      </c>
      <c r="O10" s="51">
        <v>0</v>
      </c>
      <c r="P10" s="51">
        <v>283</v>
      </c>
      <c r="Q10" s="51">
        <v>0</v>
      </c>
    </row>
    <row r="11" spans="1:17" x14ac:dyDescent="0.35">
      <c r="A11" s="4" t="s">
        <v>124</v>
      </c>
      <c r="B11" s="51">
        <v>151</v>
      </c>
      <c r="C11" s="51">
        <v>0</v>
      </c>
      <c r="D11" s="51">
        <v>150</v>
      </c>
      <c r="E11" s="51">
        <v>0</v>
      </c>
      <c r="F11" s="51" t="s">
        <v>128</v>
      </c>
      <c r="G11" s="7" t="s">
        <v>128</v>
      </c>
      <c r="H11" s="51">
        <v>143</v>
      </c>
      <c r="I11" s="7" t="s">
        <v>128</v>
      </c>
      <c r="J11" s="51">
        <v>149</v>
      </c>
      <c r="K11" s="51">
        <v>0</v>
      </c>
      <c r="L11" s="51">
        <v>136</v>
      </c>
      <c r="M11" s="51">
        <v>0</v>
      </c>
      <c r="N11" s="7" t="s">
        <v>128</v>
      </c>
      <c r="O11" s="7" t="s">
        <v>128</v>
      </c>
      <c r="P11" s="51">
        <v>136</v>
      </c>
      <c r="Q11" s="51">
        <v>0</v>
      </c>
    </row>
    <row r="12" spans="1:17" x14ac:dyDescent="0.35">
      <c r="A12" s="4" t="s">
        <v>125</v>
      </c>
      <c r="B12" s="51">
        <v>305</v>
      </c>
      <c r="C12" s="51">
        <v>0</v>
      </c>
      <c r="D12" s="51">
        <v>290</v>
      </c>
      <c r="E12" s="51">
        <v>0</v>
      </c>
      <c r="F12" s="51" t="s">
        <v>128</v>
      </c>
      <c r="G12" s="7" t="s">
        <v>128</v>
      </c>
      <c r="H12" s="51">
        <v>130</v>
      </c>
      <c r="I12" s="51" t="s">
        <v>128</v>
      </c>
      <c r="J12" s="51">
        <v>300</v>
      </c>
      <c r="K12" s="51">
        <v>0</v>
      </c>
      <c r="L12" s="51">
        <v>302</v>
      </c>
      <c r="M12" s="51">
        <v>0</v>
      </c>
      <c r="N12" s="7" t="s">
        <v>128</v>
      </c>
      <c r="O12" s="7" t="s">
        <v>128</v>
      </c>
      <c r="P12" s="51">
        <v>299</v>
      </c>
      <c r="Q12" s="51">
        <v>0</v>
      </c>
    </row>
    <row r="13" spans="1:17" x14ac:dyDescent="0.35">
      <c r="A13" s="4" t="s">
        <v>126</v>
      </c>
      <c r="B13" s="51">
        <v>330</v>
      </c>
      <c r="C13" s="51">
        <v>0</v>
      </c>
      <c r="D13" s="51">
        <v>255</v>
      </c>
      <c r="E13" s="51">
        <v>0</v>
      </c>
      <c r="F13" s="51">
        <v>330</v>
      </c>
      <c r="G13" s="51" t="s">
        <v>128</v>
      </c>
      <c r="H13" s="51">
        <v>255</v>
      </c>
      <c r="I13" s="51" t="s">
        <v>128</v>
      </c>
      <c r="J13" s="51">
        <v>294</v>
      </c>
      <c r="K13" s="51">
        <v>0</v>
      </c>
      <c r="L13" s="51">
        <v>318</v>
      </c>
      <c r="M13" s="51">
        <v>0</v>
      </c>
      <c r="N13" s="51">
        <v>280</v>
      </c>
      <c r="O13" s="51">
        <v>0</v>
      </c>
      <c r="P13" s="51">
        <v>312</v>
      </c>
      <c r="Q13" s="51">
        <v>0</v>
      </c>
    </row>
    <row r="14" spans="1:17" x14ac:dyDescent="0.35">
      <c r="A14" s="4" t="s">
        <v>156</v>
      </c>
      <c r="B14" s="51">
        <v>399</v>
      </c>
      <c r="C14" s="51">
        <v>0</v>
      </c>
      <c r="D14" s="51">
        <v>402</v>
      </c>
      <c r="E14" s="51">
        <v>0</v>
      </c>
      <c r="F14" s="51">
        <v>359</v>
      </c>
      <c r="G14" s="51" t="s">
        <v>128</v>
      </c>
      <c r="H14" s="51">
        <v>376</v>
      </c>
      <c r="I14" s="51" t="s">
        <v>128</v>
      </c>
      <c r="J14" s="51">
        <v>348</v>
      </c>
      <c r="K14" s="51">
        <v>0</v>
      </c>
      <c r="L14" s="51">
        <v>379</v>
      </c>
      <c r="M14" s="51">
        <v>0</v>
      </c>
      <c r="N14" s="51">
        <v>343</v>
      </c>
      <c r="O14" s="51">
        <v>0</v>
      </c>
      <c r="P14" s="51">
        <v>365</v>
      </c>
      <c r="Q14" s="51">
        <v>0</v>
      </c>
    </row>
    <row r="15" spans="1:17" x14ac:dyDescent="0.35">
      <c r="A15" s="4" t="s">
        <v>129</v>
      </c>
      <c r="B15" s="51">
        <v>80</v>
      </c>
      <c r="C15" s="51">
        <v>0</v>
      </c>
      <c r="D15" s="51" t="s">
        <v>128</v>
      </c>
      <c r="E15" s="51" t="s">
        <v>128</v>
      </c>
      <c r="F15" s="51" t="s">
        <v>128</v>
      </c>
      <c r="G15" s="7" t="s">
        <v>128</v>
      </c>
      <c r="H15" s="51" t="s">
        <v>128</v>
      </c>
      <c r="I15" s="7" t="s">
        <v>128</v>
      </c>
      <c r="J15" s="51">
        <v>15</v>
      </c>
      <c r="K15" s="51">
        <v>0</v>
      </c>
      <c r="L15" s="7" t="s">
        <v>128</v>
      </c>
      <c r="M15" s="7" t="s">
        <v>128</v>
      </c>
      <c r="N15" s="7" t="s">
        <v>128</v>
      </c>
      <c r="O15" s="7" t="s">
        <v>128</v>
      </c>
      <c r="P15" s="7" t="s">
        <v>128</v>
      </c>
      <c r="Q15" s="7" t="s">
        <v>128</v>
      </c>
    </row>
    <row r="16" spans="1:17" x14ac:dyDescent="0.35">
      <c r="A16" s="4" t="s">
        <v>130</v>
      </c>
      <c r="B16" s="51">
        <v>413</v>
      </c>
      <c r="C16" s="51">
        <v>0</v>
      </c>
      <c r="D16" s="51">
        <v>328</v>
      </c>
      <c r="E16" s="51">
        <v>0</v>
      </c>
      <c r="F16" s="51">
        <v>541</v>
      </c>
      <c r="G16" s="51" t="s">
        <v>128</v>
      </c>
      <c r="H16" s="51">
        <v>177</v>
      </c>
      <c r="I16" s="51" t="s">
        <v>128</v>
      </c>
      <c r="J16" s="51">
        <v>380</v>
      </c>
      <c r="K16" s="51">
        <v>0</v>
      </c>
      <c r="L16" s="51">
        <v>330</v>
      </c>
      <c r="M16" s="51">
        <v>0</v>
      </c>
      <c r="N16" s="7" t="s">
        <v>128</v>
      </c>
      <c r="O16" s="7" t="s">
        <v>128</v>
      </c>
      <c r="P16" s="51">
        <v>165</v>
      </c>
      <c r="Q16" s="51">
        <v>0</v>
      </c>
    </row>
    <row r="17" spans="1:17" x14ac:dyDescent="0.35">
      <c r="A17" s="4" t="s">
        <v>131</v>
      </c>
      <c r="B17" s="51" t="s">
        <v>128</v>
      </c>
      <c r="C17" s="51" t="s">
        <v>128</v>
      </c>
      <c r="D17" s="51">
        <v>300</v>
      </c>
      <c r="E17" s="51">
        <v>0</v>
      </c>
      <c r="F17" s="51">
        <v>92</v>
      </c>
      <c r="G17" s="51" t="s">
        <v>128</v>
      </c>
      <c r="H17" s="51">
        <v>150</v>
      </c>
      <c r="I17" s="51" t="s">
        <v>128</v>
      </c>
      <c r="J17" s="51">
        <v>300</v>
      </c>
      <c r="K17" s="51">
        <v>0</v>
      </c>
      <c r="L17" s="51">
        <v>300</v>
      </c>
      <c r="M17" s="51">
        <v>0</v>
      </c>
      <c r="N17" s="7" t="s">
        <v>128</v>
      </c>
      <c r="O17" s="7" t="s">
        <v>128</v>
      </c>
      <c r="P17" s="51">
        <v>300</v>
      </c>
      <c r="Q17" s="51">
        <v>0</v>
      </c>
    </row>
    <row r="18" spans="1:17" x14ac:dyDescent="0.35">
      <c r="A18" s="4" t="s">
        <v>157</v>
      </c>
      <c r="B18" s="51">
        <v>447</v>
      </c>
      <c r="C18" s="51">
        <v>0</v>
      </c>
      <c r="D18" s="51">
        <v>301</v>
      </c>
      <c r="E18" s="51">
        <v>0</v>
      </c>
      <c r="F18" s="51">
        <v>373</v>
      </c>
      <c r="G18" s="51" t="s">
        <v>128</v>
      </c>
      <c r="H18" s="51">
        <v>305</v>
      </c>
      <c r="I18" s="51" t="s">
        <v>128</v>
      </c>
      <c r="J18" s="51">
        <v>300</v>
      </c>
      <c r="K18" s="51">
        <v>19</v>
      </c>
      <c r="L18" s="51">
        <v>299</v>
      </c>
      <c r="M18" s="51">
        <v>0</v>
      </c>
      <c r="N18" s="51">
        <v>301</v>
      </c>
      <c r="O18" s="51">
        <v>4</v>
      </c>
      <c r="P18" s="51">
        <v>301</v>
      </c>
      <c r="Q18" s="51">
        <v>0</v>
      </c>
    </row>
    <row r="19" spans="1:17" x14ac:dyDescent="0.35">
      <c r="A19" s="4" t="s">
        <v>133</v>
      </c>
      <c r="B19" s="51">
        <v>150</v>
      </c>
      <c r="C19" s="51">
        <v>0</v>
      </c>
      <c r="D19" s="51">
        <v>153</v>
      </c>
      <c r="E19" s="51">
        <v>0</v>
      </c>
      <c r="F19" s="51" t="s">
        <v>128</v>
      </c>
      <c r="G19" s="7" t="s">
        <v>128</v>
      </c>
      <c r="H19" s="51">
        <v>146</v>
      </c>
      <c r="I19" s="51" t="s">
        <v>128</v>
      </c>
      <c r="J19" s="51">
        <v>150</v>
      </c>
      <c r="K19" s="51">
        <v>0</v>
      </c>
      <c r="L19" s="51">
        <v>150</v>
      </c>
      <c r="M19" s="51">
        <v>0</v>
      </c>
      <c r="N19" s="7" t="s">
        <v>128</v>
      </c>
      <c r="O19" s="7" t="s">
        <v>128</v>
      </c>
      <c r="P19" s="51">
        <v>150</v>
      </c>
      <c r="Q19" s="51">
        <v>0</v>
      </c>
    </row>
    <row r="20" spans="1:17" x14ac:dyDescent="0.35">
      <c r="A20" s="4" t="s">
        <v>134</v>
      </c>
      <c r="B20" s="51">
        <v>150</v>
      </c>
      <c r="C20" s="51">
        <v>0</v>
      </c>
      <c r="D20" s="51">
        <v>150</v>
      </c>
      <c r="E20" s="51">
        <v>0</v>
      </c>
      <c r="F20" s="51" t="s">
        <v>128</v>
      </c>
      <c r="G20" s="7" t="s">
        <v>128</v>
      </c>
      <c r="H20" s="51">
        <v>150</v>
      </c>
      <c r="I20" s="51" t="s">
        <v>128</v>
      </c>
      <c r="J20" s="51">
        <v>150</v>
      </c>
      <c r="K20" s="51">
        <v>0</v>
      </c>
      <c r="L20" s="51">
        <v>150</v>
      </c>
      <c r="M20" s="51">
        <v>0</v>
      </c>
      <c r="N20" s="7" t="s">
        <v>128</v>
      </c>
      <c r="O20" s="7" t="s">
        <v>128</v>
      </c>
      <c r="P20" s="51">
        <v>150</v>
      </c>
      <c r="Q20" s="51">
        <v>0</v>
      </c>
    </row>
    <row r="21" spans="1:17" x14ac:dyDescent="0.35">
      <c r="A21" s="4" t="s">
        <v>135</v>
      </c>
      <c r="B21" s="51" t="s">
        <v>128</v>
      </c>
      <c r="C21" s="51" t="s">
        <v>128</v>
      </c>
      <c r="D21" s="51">
        <v>115</v>
      </c>
      <c r="E21" s="51">
        <v>0</v>
      </c>
      <c r="F21" s="51" t="s">
        <v>128</v>
      </c>
      <c r="G21" s="7" t="s">
        <v>128</v>
      </c>
      <c r="H21" s="51">
        <v>42</v>
      </c>
      <c r="I21" s="51" t="s">
        <v>128</v>
      </c>
      <c r="J21" s="51">
        <v>168</v>
      </c>
      <c r="K21" s="51">
        <v>0</v>
      </c>
      <c r="L21" s="51">
        <v>73</v>
      </c>
      <c r="M21" s="51">
        <v>0</v>
      </c>
      <c r="N21" s="7" t="s">
        <v>128</v>
      </c>
      <c r="O21" s="7" t="s">
        <v>128</v>
      </c>
      <c r="P21" s="51">
        <v>96</v>
      </c>
      <c r="Q21" s="51">
        <v>0</v>
      </c>
    </row>
    <row r="22" spans="1:17" x14ac:dyDescent="0.35">
      <c r="A22" s="4" t="s">
        <v>136</v>
      </c>
      <c r="B22" s="51">
        <v>170</v>
      </c>
      <c r="C22" s="51">
        <v>0</v>
      </c>
      <c r="D22" s="51" t="s">
        <v>128</v>
      </c>
      <c r="E22" s="51" t="s">
        <v>128</v>
      </c>
      <c r="F22" s="51" t="s">
        <v>128</v>
      </c>
      <c r="G22" s="7" t="s">
        <v>128</v>
      </c>
      <c r="H22" s="51" t="s">
        <v>128</v>
      </c>
      <c r="I22" s="7" t="s">
        <v>128</v>
      </c>
      <c r="J22" s="51">
        <v>161</v>
      </c>
      <c r="K22" s="51">
        <v>0</v>
      </c>
      <c r="L22" s="51">
        <v>150</v>
      </c>
      <c r="M22" s="51">
        <v>0</v>
      </c>
      <c r="N22" s="7" t="s">
        <v>128</v>
      </c>
      <c r="O22" s="7" t="s">
        <v>128</v>
      </c>
      <c r="P22" s="51">
        <v>150</v>
      </c>
      <c r="Q22" s="51">
        <v>0</v>
      </c>
    </row>
    <row r="23" spans="1:17" x14ac:dyDescent="0.35">
      <c r="A23" s="4" t="s">
        <v>1011</v>
      </c>
      <c r="B23" s="51">
        <v>301</v>
      </c>
      <c r="C23" s="51">
        <v>1</v>
      </c>
      <c r="D23" s="51" t="s">
        <v>128</v>
      </c>
      <c r="E23" s="51" t="s">
        <v>128</v>
      </c>
      <c r="F23" s="51" t="s">
        <v>128</v>
      </c>
      <c r="G23" s="7" t="s">
        <v>128</v>
      </c>
      <c r="H23" s="51" t="s">
        <v>128</v>
      </c>
      <c r="I23" s="7" t="s">
        <v>128</v>
      </c>
      <c r="J23" s="51">
        <v>300</v>
      </c>
      <c r="K23" s="51">
        <v>0</v>
      </c>
      <c r="L23" s="7" t="s">
        <v>128</v>
      </c>
      <c r="M23" s="7" t="s">
        <v>128</v>
      </c>
      <c r="N23" s="51">
        <v>300</v>
      </c>
      <c r="O23" s="51">
        <v>0</v>
      </c>
      <c r="P23" s="7" t="s">
        <v>119</v>
      </c>
      <c r="Q23" s="7" t="s">
        <v>119</v>
      </c>
    </row>
    <row r="24" spans="1:17" x14ac:dyDescent="0.35">
      <c r="A24" s="4" t="s">
        <v>138</v>
      </c>
      <c r="B24" s="51">
        <v>352</v>
      </c>
      <c r="C24" s="51">
        <v>0</v>
      </c>
      <c r="D24" s="51">
        <v>315</v>
      </c>
      <c r="E24" s="51">
        <v>0</v>
      </c>
      <c r="F24" s="51">
        <v>308</v>
      </c>
      <c r="G24" s="51" t="s">
        <v>128</v>
      </c>
      <c r="H24" s="51">
        <v>315</v>
      </c>
      <c r="I24" s="51" t="s">
        <v>128</v>
      </c>
      <c r="J24" s="51">
        <v>309</v>
      </c>
      <c r="K24" s="51">
        <v>0</v>
      </c>
      <c r="L24" s="51">
        <v>311</v>
      </c>
      <c r="M24" s="51">
        <v>0</v>
      </c>
      <c r="N24" s="7" t="s">
        <v>128</v>
      </c>
      <c r="O24" s="7" t="s">
        <v>128</v>
      </c>
      <c r="P24" s="51">
        <v>311</v>
      </c>
      <c r="Q24" s="51">
        <v>0</v>
      </c>
    </row>
    <row r="25" spans="1:17" x14ac:dyDescent="0.35">
      <c r="A25" s="4" t="s">
        <v>139</v>
      </c>
      <c r="B25" s="51">
        <v>309</v>
      </c>
      <c r="C25" s="51">
        <v>0</v>
      </c>
      <c r="D25" s="51">
        <v>269</v>
      </c>
      <c r="E25" s="51">
        <v>0</v>
      </c>
      <c r="F25" s="51">
        <v>128</v>
      </c>
      <c r="G25" s="51" t="s">
        <v>128</v>
      </c>
      <c r="H25" s="51">
        <v>252</v>
      </c>
      <c r="I25" s="51" t="s">
        <v>128</v>
      </c>
      <c r="J25" s="51">
        <v>334</v>
      </c>
      <c r="K25" s="51">
        <v>7</v>
      </c>
      <c r="L25" s="51">
        <v>239</v>
      </c>
      <c r="M25" s="51">
        <v>0</v>
      </c>
      <c r="N25" s="51">
        <v>204</v>
      </c>
      <c r="O25" s="51">
        <v>0</v>
      </c>
      <c r="P25" s="51">
        <v>259</v>
      </c>
      <c r="Q25" s="51">
        <v>0</v>
      </c>
    </row>
    <row r="26" spans="1:17" x14ac:dyDescent="0.35">
      <c r="A26" s="4" t="s">
        <v>140</v>
      </c>
      <c r="B26" s="51">
        <v>450</v>
      </c>
      <c r="C26" s="51">
        <v>0</v>
      </c>
      <c r="D26" s="51">
        <v>303</v>
      </c>
      <c r="E26" s="51">
        <v>0</v>
      </c>
      <c r="F26" s="51">
        <v>150</v>
      </c>
      <c r="G26" s="51" t="s">
        <v>128</v>
      </c>
      <c r="H26" s="51">
        <v>148</v>
      </c>
      <c r="I26" s="51" t="s">
        <v>128</v>
      </c>
      <c r="J26" s="51">
        <v>300</v>
      </c>
      <c r="K26" s="51">
        <v>1</v>
      </c>
      <c r="L26" s="51">
        <v>312</v>
      </c>
      <c r="M26" s="51">
        <v>0</v>
      </c>
      <c r="N26" s="51">
        <v>284</v>
      </c>
      <c r="O26" s="51">
        <v>0</v>
      </c>
      <c r="P26" s="51">
        <v>303</v>
      </c>
      <c r="Q26" s="51">
        <v>0</v>
      </c>
    </row>
    <row r="27" spans="1:17" x14ac:dyDescent="0.35">
      <c r="A27" s="4" t="s">
        <v>141</v>
      </c>
      <c r="B27" s="51">
        <v>150</v>
      </c>
      <c r="C27" s="51">
        <v>0</v>
      </c>
      <c r="D27" s="51">
        <v>150</v>
      </c>
      <c r="E27" s="51">
        <v>0</v>
      </c>
      <c r="F27" s="51" t="s">
        <v>128</v>
      </c>
      <c r="G27" s="7" t="s">
        <v>128</v>
      </c>
      <c r="H27" s="51">
        <v>150</v>
      </c>
      <c r="I27" s="51" t="s">
        <v>128</v>
      </c>
      <c r="J27" s="51">
        <v>149</v>
      </c>
      <c r="K27" s="51">
        <v>0</v>
      </c>
      <c r="L27" s="51">
        <v>150</v>
      </c>
      <c r="M27" s="51">
        <v>0</v>
      </c>
      <c r="N27" s="7" t="s">
        <v>128</v>
      </c>
      <c r="O27" s="7" t="s">
        <v>128</v>
      </c>
      <c r="P27" s="51">
        <v>150</v>
      </c>
      <c r="Q27" s="51">
        <v>0</v>
      </c>
    </row>
    <row r="28" spans="1:17" x14ac:dyDescent="0.35">
      <c r="A28" s="4" t="s">
        <v>142</v>
      </c>
      <c r="B28" s="51">
        <v>169</v>
      </c>
      <c r="C28" s="51">
        <v>0</v>
      </c>
      <c r="D28" s="51">
        <v>153</v>
      </c>
      <c r="E28" s="51">
        <v>0</v>
      </c>
      <c r="F28" s="51" t="s">
        <v>128</v>
      </c>
      <c r="G28" s="7" t="s">
        <v>128</v>
      </c>
      <c r="H28" s="51">
        <v>153</v>
      </c>
      <c r="I28" s="51" t="s">
        <v>128</v>
      </c>
      <c r="J28" s="51">
        <v>153</v>
      </c>
      <c r="K28" s="51">
        <v>0</v>
      </c>
      <c r="L28" s="51">
        <v>153</v>
      </c>
      <c r="M28" s="51">
        <v>0</v>
      </c>
      <c r="N28" s="7" t="s">
        <v>128</v>
      </c>
      <c r="O28" s="7" t="s">
        <v>128</v>
      </c>
      <c r="P28" s="51">
        <v>153</v>
      </c>
      <c r="Q28" s="51">
        <v>0</v>
      </c>
    </row>
    <row r="29" spans="1:17" x14ac:dyDescent="0.35">
      <c r="A29" s="4" t="s">
        <v>143</v>
      </c>
      <c r="B29" s="51">
        <v>557</v>
      </c>
      <c r="C29" s="51">
        <v>0</v>
      </c>
      <c r="D29" s="51">
        <v>508</v>
      </c>
      <c r="E29" s="51">
        <v>0</v>
      </c>
      <c r="F29" s="51">
        <v>540</v>
      </c>
      <c r="G29" s="51" t="s">
        <v>128</v>
      </c>
      <c r="H29" s="51">
        <v>150</v>
      </c>
      <c r="I29" s="51" t="s">
        <v>128</v>
      </c>
      <c r="J29" s="51">
        <v>413</v>
      </c>
      <c r="K29" s="51">
        <v>22</v>
      </c>
      <c r="L29" s="51">
        <v>297</v>
      </c>
      <c r="M29" s="51">
        <v>1</v>
      </c>
      <c r="N29" s="51">
        <v>394</v>
      </c>
      <c r="O29" s="51">
        <v>1</v>
      </c>
      <c r="P29" s="51">
        <v>297</v>
      </c>
      <c r="Q29" s="51">
        <v>0</v>
      </c>
    </row>
    <row r="30" spans="1:17" x14ac:dyDescent="0.35">
      <c r="A30" s="4" t="s">
        <v>144</v>
      </c>
      <c r="B30" s="51">
        <v>305</v>
      </c>
      <c r="C30" s="51">
        <v>0</v>
      </c>
      <c r="D30" s="51">
        <v>300</v>
      </c>
      <c r="E30" s="51">
        <v>0</v>
      </c>
      <c r="F30" s="51">
        <v>29</v>
      </c>
      <c r="G30" s="51" t="s">
        <v>128</v>
      </c>
      <c r="H30" s="51">
        <v>75</v>
      </c>
      <c r="I30" s="51" t="s">
        <v>128</v>
      </c>
      <c r="J30" s="51">
        <v>302</v>
      </c>
      <c r="K30" s="51">
        <v>0</v>
      </c>
      <c r="L30" s="51">
        <v>298</v>
      </c>
      <c r="M30" s="51">
        <v>0</v>
      </c>
      <c r="N30" s="51">
        <v>14</v>
      </c>
      <c r="O30" s="51">
        <v>0</v>
      </c>
      <c r="P30" s="51">
        <v>304</v>
      </c>
      <c r="Q30" s="51">
        <v>0</v>
      </c>
    </row>
    <row r="31" spans="1:17" ht="17.399999999999999" customHeight="1" thickBot="1" x14ac:dyDescent="0.4">
      <c r="A31" s="20" t="s">
        <v>298</v>
      </c>
      <c r="B31" s="47">
        <v>390</v>
      </c>
      <c r="C31" s="47">
        <v>0</v>
      </c>
      <c r="D31" s="47">
        <v>300</v>
      </c>
      <c r="E31" s="51">
        <v>0</v>
      </c>
      <c r="F31" s="51" t="s">
        <v>128</v>
      </c>
      <c r="G31" s="51" t="s">
        <v>128</v>
      </c>
      <c r="H31" s="47">
        <v>300</v>
      </c>
      <c r="I31" s="51" t="s">
        <v>128</v>
      </c>
      <c r="J31" s="51">
        <v>294</v>
      </c>
      <c r="K31" s="51">
        <v>0</v>
      </c>
      <c r="L31" s="51">
        <v>96</v>
      </c>
      <c r="M31" s="51">
        <v>0</v>
      </c>
      <c r="N31" s="7" t="s">
        <v>128</v>
      </c>
      <c r="O31" s="7" t="s">
        <v>128</v>
      </c>
      <c r="P31" s="51">
        <v>98</v>
      </c>
      <c r="Q31" s="51">
        <v>0</v>
      </c>
    </row>
    <row r="32" spans="1:17" ht="15" thickBot="1" x14ac:dyDescent="0.4">
      <c r="A32" s="72" t="s">
        <v>167</v>
      </c>
      <c r="B32" s="84">
        <f t="shared" ref="B32:Q32" si="0">SUM(B4:B31)</f>
        <v>8313</v>
      </c>
      <c r="C32" s="84">
        <f t="shared" si="0"/>
        <v>1</v>
      </c>
      <c r="D32" s="84">
        <f t="shared" si="0"/>
        <v>6442</v>
      </c>
      <c r="E32" s="84">
        <f t="shared" si="0"/>
        <v>0</v>
      </c>
      <c r="F32" s="84">
        <f>SUM(F4:F31)</f>
        <v>3091</v>
      </c>
      <c r="G32" s="84">
        <f t="shared" si="0"/>
        <v>0</v>
      </c>
      <c r="H32" s="84">
        <f>SUM(H4:H31)</f>
        <v>4312</v>
      </c>
      <c r="I32" s="84">
        <f t="shared" si="0"/>
        <v>0</v>
      </c>
      <c r="J32" s="84">
        <f t="shared" si="0"/>
        <v>7084</v>
      </c>
      <c r="K32" s="84">
        <f t="shared" si="0"/>
        <v>54</v>
      </c>
      <c r="L32" s="84">
        <f t="shared" si="0"/>
        <v>6100</v>
      </c>
      <c r="M32" s="84">
        <f t="shared" si="0"/>
        <v>1</v>
      </c>
      <c r="N32" s="84">
        <f t="shared" si="0"/>
        <v>3315</v>
      </c>
      <c r="O32" s="84">
        <f t="shared" si="0"/>
        <v>5</v>
      </c>
      <c r="P32" s="84">
        <f t="shared" si="0"/>
        <v>5893</v>
      </c>
      <c r="Q32" s="84">
        <f t="shared" si="0"/>
        <v>0</v>
      </c>
    </row>
    <row r="33" spans="1:19" x14ac:dyDescent="0.35">
      <c r="A33" s="4" t="s">
        <v>147</v>
      </c>
      <c r="B33" s="47">
        <v>148</v>
      </c>
      <c r="C33" s="51">
        <v>1</v>
      </c>
      <c r="D33" s="47">
        <v>135</v>
      </c>
      <c r="E33" s="51">
        <v>0</v>
      </c>
      <c r="F33" s="7" t="s">
        <v>128</v>
      </c>
      <c r="G33" s="7" t="s">
        <v>128</v>
      </c>
      <c r="H33" s="7" t="s">
        <v>128</v>
      </c>
      <c r="I33" s="7" t="s">
        <v>128</v>
      </c>
      <c r="J33" s="7" t="s">
        <v>128</v>
      </c>
      <c r="K33" s="7" t="s">
        <v>128</v>
      </c>
      <c r="L33" s="7" t="s">
        <v>128</v>
      </c>
      <c r="M33" s="7" t="s">
        <v>128</v>
      </c>
      <c r="N33" s="7" t="s">
        <v>128</v>
      </c>
      <c r="O33" s="7" t="s">
        <v>128</v>
      </c>
      <c r="P33" s="7" t="s">
        <v>128</v>
      </c>
      <c r="Q33" s="7" t="s">
        <v>128</v>
      </c>
    </row>
    <row r="34" spans="1:19" x14ac:dyDescent="0.35">
      <c r="A34" s="4" t="s">
        <v>148</v>
      </c>
      <c r="B34" s="51">
        <v>336</v>
      </c>
      <c r="C34" s="51">
        <v>0</v>
      </c>
      <c r="D34" s="51">
        <v>327</v>
      </c>
      <c r="E34" s="51">
        <v>0</v>
      </c>
      <c r="F34" s="51" t="s">
        <v>119</v>
      </c>
      <c r="G34" s="51" t="s">
        <v>128</v>
      </c>
      <c r="H34" s="51">
        <v>113</v>
      </c>
      <c r="I34" s="51" t="s">
        <v>128</v>
      </c>
      <c r="J34" s="51">
        <v>333</v>
      </c>
      <c r="K34" s="51">
        <v>0</v>
      </c>
      <c r="L34" s="51">
        <v>283</v>
      </c>
      <c r="M34" s="51">
        <v>0</v>
      </c>
      <c r="N34" s="7" t="s">
        <v>128</v>
      </c>
      <c r="O34" s="7" t="s">
        <v>128</v>
      </c>
      <c r="P34" s="51">
        <v>286</v>
      </c>
      <c r="Q34" s="51">
        <v>0</v>
      </c>
    </row>
    <row r="35" spans="1:19" x14ac:dyDescent="0.35">
      <c r="A35" s="4" t="s">
        <v>149</v>
      </c>
      <c r="B35" s="51" t="s">
        <v>128</v>
      </c>
      <c r="C35" s="51" t="s">
        <v>128</v>
      </c>
      <c r="D35" s="51">
        <v>4</v>
      </c>
      <c r="E35" s="51">
        <v>0</v>
      </c>
      <c r="F35" s="51" t="s">
        <v>128</v>
      </c>
      <c r="G35" s="51" t="s">
        <v>128</v>
      </c>
      <c r="H35" s="51" t="s">
        <v>128</v>
      </c>
      <c r="I35" s="51" t="s">
        <v>128</v>
      </c>
      <c r="J35" s="51" t="s">
        <v>128</v>
      </c>
      <c r="K35" s="51" t="s">
        <v>128</v>
      </c>
      <c r="L35" s="51" t="s">
        <v>128</v>
      </c>
      <c r="M35" s="51" t="s">
        <v>128</v>
      </c>
      <c r="N35" s="7" t="s">
        <v>128</v>
      </c>
      <c r="O35" s="7" t="s">
        <v>128</v>
      </c>
      <c r="P35" s="51" t="s">
        <v>128</v>
      </c>
      <c r="Q35" s="51" t="s">
        <v>128</v>
      </c>
    </row>
    <row r="36" spans="1:19" ht="15" thickBot="1" x14ac:dyDescent="0.4">
      <c r="A36" s="4" t="s">
        <v>150</v>
      </c>
      <c r="B36" s="47">
        <v>309</v>
      </c>
      <c r="C36" s="51">
        <v>0</v>
      </c>
      <c r="D36" s="47">
        <v>310</v>
      </c>
      <c r="E36" s="51">
        <v>0</v>
      </c>
      <c r="F36" s="47" t="s">
        <v>119</v>
      </c>
      <c r="G36" s="7" t="s">
        <v>128</v>
      </c>
      <c r="H36" s="47">
        <v>160</v>
      </c>
      <c r="I36" s="51" t="s">
        <v>128</v>
      </c>
      <c r="J36" s="51">
        <v>308</v>
      </c>
      <c r="K36" s="51">
        <v>0</v>
      </c>
      <c r="L36" s="51">
        <v>309</v>
      </c>
      <c r="M36" s="51">
        <v>0</v>
      </c>
      <c r="N36" s="51">
        <v>306</v>
      </c>
      <c r="O36" s="51">
        <v>0</v>
      </c>
      <c r="P36" s="51">
        <v>308</v>
      </c>
      <c r="Q36" s="51">
        <v>0</v>
      </c>
    </row>
    <row r="37" spans="1:19" ht="15" thickBot="1" x14ac:dyDescent="0.4">
      <c r="A37" s="72" t="s">
        <v>1012</v>
      </c>
      <c r="B37" s="84">
        <f>SUM(B33:B36)</f>
        <v>793</v>
      </c>
      <c r="C37" s="84">
        <f t="shared" ref="C37:Q37" si="1">SUM(C33:C36)</f>
        <v>1</v>
      </c>
      <c r="D37" s="84">
        <f t="shared" si="1"/>
        <v>776</v>
      </c>
      <c r="E37" s="84">
        <f t="shared" si="1"/>
        <v>0</v>
      </c>
      <c r="F37" s="84">
        <f t="shared" si="1"/>
        <v>0</v>
      </c>
      <c r="G37" s="84">
        <f t="shared" si="1"/>
        <v>0</v>
      </c>
      <c r="H37" s="84">
        <f t="shared" si="1"/>
        <v>273</v>
      </c>
      <c r="I37" s="84">
        <f t="shared" si="1"/>
        <v>0</v>
      </c>
      <c r="J37" s="84">
        <f t="shared" si="1"/>
        <v>641</v>
      </c>
      <c r="K37" s="84">
        <f t="shared" si="1"/>
        <v>0</v>
      </c>
      <c r="L37" s="84">
        <f t="shared" si="1"/>
        <v>592</v>
      </c>
      <c r="M37" s="84">
        <f t="shared" si="1"/>
        <v>0</v>
      </c>
      <c r="N37" s="84">
        <f t="shared" si="1"/>
        <v>306</v>
      </c>
      <c r="O37" s="84">
        <f t="shared" si="1"/>
        <v>0</v>
      </c>
      <c r="P37" s="84">
        <f t="shared" si="1"/>
        <v>594</v>
      </c>
      <c r="Q37" s="84">
        <f t="shared" si="1"/>
        <v>0</v>
      </c>
    </row>
    <row r="38" spans="1:19" ht="15" thickBot="1" x14ac:dyDescent="0.4">
      <c r="A38" s="72" t="s">
        <v>1013</v>
      </c>
      <c r="B38" s="73">
        <f>SUM(B32,B37)</f>
        <v>9106</v>
      </c>
      <c r="C38" s="73">
        <f t="shared" ref="C38:Q38" si="2">SUM(C32,C37)</f>
        <v>2</v>
      </c>
      <c r="D38" s="73">
        <f t="shared" si="2"/>
        <v>7218</v>
      </c>
      <c r="E38" s="73">
        <f t="shared" si="2"/>
        <v>0</v>
      </c>
      <c r="F38" s="73">
        <f t="shared" si="2"/>
        <v>3091</v>
      </c>
      <c r="G38" s="73">
        <f t="shared" si="2"/>
        <v>0</v>
      </c>
      <c r="H38" s="73">
        <f t="shared" si="2"/>
        <v>4585</v>
      </c>
      <c r="I38" s="73">
        <f t="shared" si="2"/>
        <v>0</v>
      </c>
      <c r="J38" s="73">
        <f t="shared" si="2"/>
        <v>7725</v>
      </c>
      <c r="K38" s="73">
        <f t="shared" si="2"/>
        <v>54</v>
      </c>
      <c r="L38" s="73">
        <f t="shared" si="2"/>
        <v>6692</v>
      </c>
      <c r="M38" s="73">
        <f t="shared" si="2"/>
        <v>1</v>
      </c>
      <c r="N38" s="73">
        <f t="shared" si="2"/>
        <v>3621</v>
      </c>
      <c r="O38" s="73">
        <f t="shared" si="2"/>
        <v>5</v>
      </c>
      <c r="P38" s="73">
        <f t="shared" si="2"/>
        <v>6487</v>
      </c>
      <c r="Q38" s="73">
        <f t="shared" si="2"/>
        <v>0</v>
      </c>
      <c r="R38" s="138"/>
      <c r="S38" s="138"/>
    </row>
    <row r="39" spans="1:19" ht="15" thickBot="1" x14ac:dyDescent="0.4"/>
    <row r="40" spans="1:19" ht="15" customHeight="1" thickBot="1" x14ac:dyDescent="0.4">
      <c r="B40" s="267" t="s">
        <v>1019</v>
      </c>
      <c r="C40" s="267"/>
      <c r="D40" s="267"/>
      <c r="E40" s="267"/>
      <c r="F40" s="267"/>
      <c r="G40" s="267"/>
      <c r="H40" s="223"/>
      <c r="J40" s="274" t="s">
        <v>1014</v>
      </c>
      <c r="K40" s="275"/>
      <c r="L40" s="275"/>
      <c r="M40" s="275"/>
      <c r="N40" s="275"/>
      <c r="O40" s="276"/>
      <c r="P40" s="268">
        <f>SUM($B$38,$D$38,$F$38,$H$38,$J$38,$L$38,$N$38,$P$38)</f>
        <v>48525</v>
      </c>
      <c r="Q40" s="269"/>
    </row>
    <row r="41" spans="1:19" ht="15" thickBot="1" x14ac:dyDescent="0.4">
      <c r="B41" s="267"/>
      <c r="C41" s="267"/>
      <c r="D41" s="267"/>
      <c r="E41" s="267"/>
      <c r="F41" s="267"/>
      <c r="G41" s="267"/>
      <c r="H41" s="223"/>
      <c r="J41" s="274" t="s">
        <v>1015</v>
      </c>
      <c r="K41" s="275"/>
      <c r="L41" s="275"/>
      <c r="M41" s="275"/>
      <c r="N41" s="275"/>
      <c r="O41" s="276"/>
      <c r="P41" s="270">
        <f>SUM($C$38,$E$38,$G$38,$I$38,$K$38,$O$38,$M$38,$Q$38)</f>
        <v>62</v>
      </c>
      <c r="Q41" s="271"/>
    </row>
    <row r="42" spans="1:19" x14ac:dyDescent="0.35">
      <c r="B42" s="267"/>
      <c r="C42" s="267"/>
      <c r="D42" s="267"/>
      <c r="E42" s="267"/>
      <c r="F42" s="267"/>
      <c r="G42" s="267"/>
      <c r="H42" s="223"/>
    </row>
    <row r="43" spans="1:19" x14ac:dyDescent="0.35">
      <c r="B43" s="267"/>
      <c r="C43" s="267"/>
      <c r="D43" s="267"/>
      <c r="E43" s="267"/>
      <c r="F43" s="267"/>
      <c r="G43" s="267"/>
      <c r="H43" s="223"/>
    </row>
    <row r="44" spans="1:19" x14ac:dyDescent="0.35">
      <c r="B44" s="267"/>
      <c r="C44" s="267"/>
      <c r="D44" s="267"/>
      <c r="E44" s="267"/>
      <c r="F44" s="267"/>
      <c r="G44" s="267"/>
      <c r="H44" s="223"/>
    </row>
    <row r="45" spans="1:19" x14ac:dyDescent="0.35">
      <c r="B45" s="223"/>
      <c r="C45" s="223"/>
      <c r="D45" s="223"/>
      <c r="E45" s="223"/>
      <c r="F45" s="223"/>
      <c r="G45" s="223"/>
      <c r="H45" s="223"/>
    </row>
    <row r="46" spans="1:19" x14ac:dyDescent="0.35">
      <c r="B46" s="223"/>
      <c r="C46" s="223"/>
      <c r="D46" s="223"/>
      <c r="E46" s="223"/>
      <c r="F46" s="223"/>
      <c r="G46" s="223"/>
      <c r="H46" s="223"/>
    </row>
    <row r="47" spans="1:19" x14ac:dyDescent="0.35">
      <c r="B47" s="223"/>
      <c r="C47" s="223"/>
      <c r="D47" s="223"/>
      <c r="E47" s="223"/>
      <c r="F47" s="223"/>
      <c r="G47" s="223"/>
      <c r="H47" s="223"/>
    </row>
    <row r="48" spans="1:19" x14ac:dyDescent="0.35">
      <c r="B48" s="223"/>
      <c r="C48" s="223"/>
      <c r="D48" s="223"/>
      <c r="E48" s="223"/>
      <c r="F48" s="223"/>
      <c r="G48" s="223"/>
      <c r="H48" s="223"/>
    </row>
    <row r="49" spans="2:8" x14ac:dyDescent="0.35">
      <c r="B49" s="223"/>
      <c r="C49" s="223"/>
      <c r="D49" s="223"/>
      <c r="E49" s="223"/>
      <c r="F49" s="223"/>
      <c r="G49" s="223"/>
      <c r="H49" s="223"/>
    </row>
    <row r="50" spans="2:8" x14ac:dyDescent="0.35">
      <c r="B50" s="223"/>
      <c r="C50" s="223"/>
      <c r="D50" s="223"/>
      <c r="E50" s="223"/>
      <c r="F50" s="223"/>
      <c r="G50" s="223"/>
      <c r="H50" s="223"/>
    </row>
  </sheetData>
  <mergeCells count="15">
    <mergeCell ref="B40:G44"/>
    <mergeCell ref="P40:Q40"/>
    <mergeCell ref="P41:Q41"/>
    <mergeCell ref="A1:A3"/>
    <mergeCell ref="B1:Q1"/>
    <mergeCell ref="B2:C2"/>
    <mergeCell ref="D2:E2"/>
    <mergeCell ref="F2:G2"/>
    <mergeCell ref="H2:I2"/>
    <mergeCell ref="J2:K2"/>
    <mergeCell ref="L2:M2"/>
    <mergeCell ref="N2:O2"/>
    <mergeCell ref="P2:Q2"/>
    <mergeCell ref="J40:O40"/>
    <mergeCell ref="J41:O41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28"/>
  <dimension ref="A1:Q13"/>
  <sheetViews>
    <sheetView zoomScale="80" zoomScaleNormal="80" workbookViewId="0">
      <pane ySplit="2" topLeftCell="A3" activePane="bottomLeft" state="frozen"/>
      <selection pane="bottomLeft" activeCell="N31" sqref="N31"/>
    </sheetView>
  </sheetViews>
  <sheetFormatPr defaultColWidth="11.453125" defaultRowHeight="14.5" x14ac:dyDescent="0.35"/>
  <cols>
    <col min="1" max="1" width="32.54296875" customWidth="1"/>
  </cols>
  <sheetData>
    <row r="1" spans="1:17" ht="25.75" customHeight="1" thickBot="1" x14ac:dyDescent="0.4">
      <c r="A1" s="278" t="s">
        <v>1026</v>
      </c>
      <c r="B1" s="278" t="s">
        <v>87</v>
      </c>
      <c r="C1" s="280" t="s">
        <v>109</v>
      </c>
      <c r="D1" s="280"/>
      <c r="E1" s="280"/>
      <c r="F1" s="277" t="s">
        <v>160</v>
      </c>
      <c r="G1" s="277"/>
      <c r="H1" s="277"/>
      <c r="I1" s="277" t="s">
        <v>163</v>
      </c>
      <c r="J1" s="277"/>
      <c r="K1" s="277"/>
      <c r="L1" s="277" t="s">
        <v>164</v>
      </c>
      <c r="M1" s="277"/>
      <c r="N1" s="277"/>
      <c r="O1" s="277" t="s">
        <v>165</v>
      </c>
      <c r="P1" s="277"/>
      <c r="Q1" s="277"/>
    </row>
    <row r="2" spans="1:17" ht="23.4" customHeight="1" thickBot="1" x14ac:dyDescent="0.4">
      <c r="A2" s="279"/>
      <c r="B2" s="279"/>
      <c r="C2" s="21" t="s">
        <v>83</v>
      </c>
      <c r="D2" s="21" t="s">
        <v>89</v>
      </c>
      <c r="E2" s="21" t="s">
        <v>91</v>
      </c>
      <c r="F2" s="21" t="s">
        <v>83</v>
      </c>
      <c r="G2" s="21" t="s">
        <v>89</v>
      </c>
      <c r="H2" s="21" t="s">
        <v>91</v>
      </c>
      <c r="I2" s="21" t="s">
        <v>83</v>
      </c>
      <c r="J2" s="21" t="s">
        <v>89</v>
      </c>
      <c r="K2" s="21" t="s">
        <v>91</v>
      </c>
      <c r="L2" s="21" t="s">
        <v>83</v>
      </c>
      <c r="M2" s="21" t="s">
        <v>89</v>
      </c>
      <c r="N2" s="21" t="s">
        <v>91</v>
      </c>
      <c r="O2" s="21" t="s">
        <v>83</v>
      </c>
      <c r="P2" s="21" t="s">
        <v>89</v>
      </c>
      <c r="Q2" s="21" t="s">
        <v>91</v>
      </c>
    </row>
    <row r="3" spans="1:17" ht="29" x14ac:dyDescent="0.35">
      <c r="A3" s="11" t="s">
        <v>1027</v>
      </c>
      <c r="B3">
        <v>2107</v>
      </c>
      <c r="C3">
        <v>2072</v>
      </c>
      <c r="D3" s="2">
        <v>98.34</v>
      </c>
      <c r="E3" s="2">
        <v>27.2</v>
      </c>
      <c r="F3">
        <v>1636</v>
      </c>
      <c r="G3" s="2">
        <v>77.650000000000006</v>
      </c>
      <c r="H3" s="2">
        <v>21.5</v>
      </c>
      <c r="I3">
        <v>378</v>
      </c>
      <c r="J3" s="2">
        <v>17.940000000000001</v>
      </c>
      <c r="K3" s="2">
        <v>5</v>
      </c>
      <c r="L3" s="2">
        <v>60</v>
      </c>
      <c r="M3" s="2">
        <v>2.85</v>
      </c>
      <c r="N3" s="2">
        <v>0.8</v>
      </c>
      <c r="O3">
        <v>0</v>
      </c>
      <c r="P3" s="2">
        <v>0</v>
      </c>
      <c r="Q3" s="2">
        <v>0</v>
      </c>
    </row>
    <row r="4" spans="1:17" ht="29" x14ac:dyDescent="0.35">
      <c r="A4" s="14" t="s">
        <v>1028</v>
      </c>
      <c r="B4" s="15">
        <v>191</v>
      </c>
      <c r="C4" s="15">
        <v>188</v>
      </c>
      <c r="D4" s="16">
        <v>98.43</v>
      </c>
      <c r="E4" s="16">
        <v>49.8</v>
      </c>
      <c r="F4" s="15">
        <v>155</v>
      </c>
      <c r="G4" s="16">
        <v>81.150000000000006</v>
      </c>
      <c r="H4" s="16">
        <v>41.06</v>
      </c>
      <c r="I4" s="15">
        <v>30</v>
      </c>
      <c r="J4" s="16">
        <v>15.71</v>
      </c>
      <c r="K4" s="16">
        <v>7.95</v>
      </c>
      <c r="L4" s="15">
        <v>7</v>
      </c>
      <c r="M4" s="16">
        <v>3.66</v>
      </c>
      <c r="N4" s="16">
        <v>1.85</v>
      </c>
      <c r="O4" s="15">
        <v>0</v>
      </c>
      <c r="P4" s="16">
        <v>0</v>
      </c>
      <c r="Q4" s="16">
        <v>0</v>
      </c>
    </row>
    <row r="5" spans="1:17" ht="29" x14ac:dyDescent="0.35">
      <c r="A5" s="11" t="s">
        <v>1029</v>
      </c>
      <c r="B5">
        <v>1127</v>
      </c>
      <c r="C5">
        <v>1122</v>
      </c>
      <c r="D5" s="2">
        <v>99.56</v>
      </c>
      <c r="E5" s="2">
        <v>23.5</v>
      </c>
      <c r="F5">
        <v>961</v>
      </c>
      <c r="G5" s="2">
        <v>85.27</v>
      </c>
      <c r="H5" s="2">
        <v>20.100000000000001</v>
      </c>
      <c r="I5">
        <v>126</v>
      </c>
      <c r="J5" s="2">
        <v>11.18</v>
      </c>
      <c r="K5" s="2">
        <v>2.6</v>
      </c>
      <c r="L5" s="2">
        <v>35</v>
      </c>
      <c r="M5" s="2">
        <v>3.11</v>
      </c>
      <c r="N5" s="2">
        <v>0.7</v>
      </c>
      <c r="O5">
        <v>0</v>
      </c>
      <c r="P5" s="2">
        <v>0</v>
      </c>
      <c r="Q5" s="2">
        <v>0</v>
      </c>
    </row>
    <row r="6" spans="1:17" ht="29" x14ac:dyDescent="0.35">
      <c r="A6" s="14" t="s">
        <v>1030</v>
      </c>
      <c r="B6" s="15">
        <v>24</v>
      </c>
      <c r="C6" s="15">
        <v>24</v>
      </c>
      <c r="D6" s="16">
        <v>100</v>
      </c>
      <c r="E6" s="16">
        <v>60</v>
      </c>
      <c r="F6" s="15">
        <v>22</v>
      </c>
      <c r="G6" s="16">
        <v>91.67</v>
      </c>
      <c r="H6" s="16">
        <v>55</v>
      </c>
      <c r="I6" s="15">
        <v>2</v>
      </c>
      <c r="J6" s="16">
        <v>8.33</v>
      </c>
      <c r="K6" s="16">
        <v>5</v>
      </c>
      <c r="L6" s="15">
        <v>0</v>
      </c>
      <c r="M6" s="16">
        <v>0</v>
      </c>
      <c r="N6" s="16">
        <v>0</v>
      </c>
      <c r="O6" s="15">
        <v>0</v>
      </c>
      <c r="P6" s="16">
        <v>0</v>
      </c>
      <c r="Q6" s="16">
        <v>0</v>
      </c>
    </row>
    <row r="7" spans="1:17" ht="29" x14ac:dyDescent="0.35">
      <c r="A7" s="11" t="s">
        <v>1031</v>
      </c>
      <c r="B7">
        <v>358</v>
      </c>
      <c r="C7">
        <v>358</v>
      </c>
      <c r="D7" s="2">
        <v>100</v>
      </c>
      <c r="E7" s="2">
        <v>5.0999999999999996</v>
      </c>
      <c r="F7">
        <v>263</v>
      </c>
      <c r="G7" s="2">
        <f t="shared" ref="G7:G10" si="0">(F7/B7)*100</f>
        <v>73.463687150837984</v>
      </c>
      <c r="H7" s="2">
        <v>3.7</v>
      </c>
      <c r="I7">
        <v>84</v>
      </c>
      <c r="J7" s="2">
        <v>23.5</v>
      </c>
      <c r="K7" s="2">
        <v>1.2</v>
      </c>
      <c r="L7">
        <v>11</v>
      </c>
      <c r="M7" s="2">
        <f t="shared" ref="M7:M10" si="1">(L7/B7)*100</f>
        <v>3.0726256983240221</v>
      </c>
      <c r="N7" s="2">
        <v>0.2</v>
      </c>
      <c r="O7">
        <v>0</v>
      </c>
      <c r="P7" s="2">
        <f t="shared" ref="P7:P10" si="2">(O7/B7)*100</f>
        <v>0</v>
      </c>
      <c r="Q7" s="2">
        <v>0</v>
      </c>
    </row>
    <row r="8" spans="1:17" ht="29" x14ac:dyDescent="0.35">
      <c r="A8" s="14" t="s">
        <v>1032</v>
      </c>
      <c r="B8" s="15">
        <v>12</v>
      </c>
      <c r="C8" s="15">
        <v>12</v>
      </c>
      <c r="D8" s="16">
        <v>100</v>
      </c>
      <c r="E8" s="16">
        <v>3.94</v>
      </c>
      <c r="F8" s="15">
        <v>7</v>
      </c>
      <c r="G8" s="16">
        <f>(F8/B8)*100</f>
        <v>58.333333333333336</v>
      </c>
      <c r="H8" s="16">
        <v>2.2999999999999998</v>
      </c>
      <c r="I8" s="15">
        <v>5</v>
      </c>
      <c r="J8" s="16">
        <v>41.7</v>
      </c>
      <c r="K8" s="16">
        <v>1.64</v>
      </c>
      <c r="L8" s="15">
        <v>0</v>
      </c>
      <c r="M8" s="16">
        <f t="shared" si="1"/>
        <v>0</v>
      </c>
      <c r="N8" s="16">
        <v>0</v>
      </c>
      <c r="O8" s="15">
        <v>0</v>
      </c>
      <c r="P8" s="16">
        <f t="shared" si="2"/>
        <v>0</v>
      </c>
      <c r="Q8" s="16">
        <v>0</v>
      </c>
    </row>
    <row r="9" spans="1:17" ht="29" x14ac:dyDescent="0.35">
      <c r="A9" s="20" t="s">
        <v>1033</v>
      </c>
      <c r="B9">
        <v>273</v>
      </c>
      <c r="C9">
        <v>272</v>
      </c>
      <c r="D9" s="2">
        <v>99.7</v>
      </c>
      <c r="E9" s="2">
        <v>4</v>
      </c>
      <c r="F9">
        <v>237</v>
      </c>
      <c r="G9" s="2">
        <f t="shared" si="0"/>
        <v>86.813186813186817</v>
      </c>
      <c r="H9" s="2">
        <v>3.5</v>
      </c>
      <c r="I9">
        <v>29</v>
      </c>
      <c r="J9" s="2">
        <v>10.6</v>
      </c>
      <c r="K9" s="2">
        <v>0.4</v>
      </c>
      <c r="L9">
        <v>6</v>
      </c>
      <c r="M9" s="2">
        <f t="shared" si="1"/>
        <v>2.197802197802198</v>
      </c>
      <c r="N9" s="2">
        <v>0.2</v>
      </c>
      <c r="O9">
        <v>0</v>
      </c>
      <c r="P9" s="2">
        <f t="shared" si="2"/>
        <v>0</v>
      </c>
      <c r="Q9" s="2">
        <v>0</v>
      </c>
    </row>
    <row r="10" spans="1:17" ht="29.5" thickBot="1" x14ac:dyDescent="0.4">
      <c r="A10" s="17" t="s">
        <v>1034</v>
      </c>
      <c r="B10" s="18">
        <v>3</v>
      </c>
      <c r="C10" s="18">
        <v>3</v>
      </c>
      <c r="D10" s="19">
        <v>100</v>
      </c>
      <c r="E10" s="19">
        <v>0.44</v>
      </c>
      <c r="F10" s="18">
        <v>2</v>
      </c>
      <c r="G10" s="19">
        <f t="shared" si="0"/>
        <v>66.666666666666657</v>
      </c>
      <c r="H10" s="19">
        <v>0.3</v>
      </c>
      <c r="I10" s="18">
        <v>1</v>
      </c>
      <c r="J10" s="19">
        <v>33.299999999999997</v>
      </c>
      <c r="K10" s="19">
        <v>0.15</v>
      </c>
      <c r="L10" s="18">
        <v>0</v>
      </c>
      <c r="M10" s="19">
        <f t="shared" si="1"/>
        <v>0</v>
      </c>
      <c r="N10" s="19">
        <v>0</v>
      </c>
      <c r="O10" s="18">
        <v>0</v>
      </c>
      <c r="P10" s="19">
        <f t="shared" si="2"/>
        <v>0</v>
      </c>
      <c r="Q10" s="19">
        <v>0</v>
      </c>
    </row>
    <row r="12" spans="1:17" x14ac:dyDescent="0.35">
      <c r="A12" s="12" t="s">
        <v>1016</v>
      </c>
    </row>
    <row r="13" spans="1:17" x14ac:dyDescent="0.35">
      <c r="A13" s="12"/>
    </row>
  </sheetData>
  <mergeCells count="7">
    <mergeCell ref="O1:Q1"/>
    <mergeCell ref="A1:A2"/>
    <mergeCell ref="B1:B2"/>
    <mergeCell ref="C1:E1"/>
    <mergeCell ref="F1:H1"/>
    <mergeCell ref="I1:K1"/>
    <mergeCell ref="L1:N1"/>
  </mergeCells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2ac282c-ca65-4dd4-8d74-97e97485d4fc">
      <Terms xmlns="http://schemas.microsoft.com/office/infopath/2007/PartnerControls"/>
    </lcf76f155ced4ddcb4097134ff3c332f>
    <TaxCatchAll xmlns="0f0d7073-3e63-4ef0-a2a9-471b8e67a6a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0E1F79EBFA054AAC36B0838FF4901B" ma:contentTypeVersion="14" ma:contentTypeDescription="Create a new document." ma:contentTypeScope="" ma:versionID="fe4dbed6b3734daed75a6b4ac4c1b74f">
  <xsd:schema xmlns:xsd="http://www.w3.org/2001/XMLSchema" xmlns:xs="http://www.w3.org/2001/XMLSchema" xmlns:p="http://schemas.microsoft.com/office/2006/metadata/properties" xmlns:ns2="d2ac282c-ca65-4dd4-8d74-97e97485d4fc" xmlns:ns3="0f0d7073-3e63-4ef0-a2a9-471b8e67a6a4" targetNamespace="http://schemas.microsoft.com/office/2006/metadata/properties" ma:root="true" ma:fieldsID="19b9c8039eeb9e51c0581314f6313754" ns2:_="" ns3:_="">
    <xsd:import namespace="d2ac282c-ca65-4dd4-8d74-97e97485d4fc"/>
    <xsd:import namespace="0f0d7073-3e63-4ef0-a2a9-471b8e67a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282c-ca65-4dd4-8d74-97e97485d4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8d3d8e85-2482-46d5-b3d8-06dc7993f3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d7073-3e63-4ef0-a2a9-471b8e67a6a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86a81e9-713d-442d-8399-a36ebf96fde0}" ma:internalName="TaxCatchAll" ma:showField="CatchAllData" ma:web="0f0d7073-3e63-4ef0-a2a9-471b8e67a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2F717D-24AB-4FE6-B99F-E890FC1BEF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5CCFCC-0B4F-44B2-879D-C6EC9143D6B5}">
  <ds:schemaRefs>
    <ds:schemaRef ds:uri="0f0d7073-3e63-4ef0-a2a9-471b8e67a6a4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d2ac282c-ca65-4dd4-8d74-97e97485d4fc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AF7EBF3-A85A-4487-8935-16043D5073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ac282c-ca65-4dd4-8d74-97e97485d4fc"/>
    <ds:schemaRef ds:uri="0f0d7073-3e63-4ef0-a2a9-471b8e67a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Table of Contents</vt:lpstr>
      <vt:lpstr>Indicator E. coli broilers</vt:lpstr>
      <vt:lpstr>Indicator E. coli turkeys</vt:lpstr>
      <vt:lpstr>Indicator E. coli pigs</vt:lpstr>
      <vt:lpstr>Indicator E. coli calves</vt:lpstr>
      <vt:lpstr>Prevalence broilers</vt:lpstr>
      <vt:lpstr>Prevalence turkeys</vt:lpstr>
      <vt:lpstr>Prevalence pigs</vt:lpstr>
      <vt:lpstr>Prevalence calves</vt:lpstr>
      <vt:lpstr>Prevalence broiler meat</vt:lpstr>
      <vt:lpstr>Prevalence turkey meat</vt:lpstr>
      <vt:lpstr>Prevalence pig meat</vt:lpstr>
      <vt:lpstr>Prevalence bovine meat</vt:lpstr>
      <vt:lpstr>Occurrence broilers</vt:lpstr>
      <vt:lpstr>Occurrence turkeys</vt:lpstr>
      <vt:lpstr>Occurrence pigs</vt:lpstr>
      <vt:lpstr>Occurrence calves</vt:lpstr>
      <vt:lpstr>Occurrence broiler meat</vt:lpstr>
      <vt:lpstr>Occurrence turkey meat</vt:lpstr>
      <vt:lpstr>Occurrence pig meat</vt:lpstr>
      <vt:lpstr>Occurrence bovine meat</vt:lpstr>
      <vt:lpstr>Samples investigated CP-prod</vt:lpstr>
      <vt:lpstr>Occurrence retail &amp; import meat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GARCIA FIERRO Raquel</cp:lastModifiedBy>
  <cp:revision/>
  <dcterms:created xsi:type="dcterms:W3CDTF">2015-06-05T18:19:34Z</dcterms:created>
  <dcterms:modified xsi:type="dcterms:W3CDTF">2026-02-16T18:07:20Z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0x010100AB0E1F79EBFA054AAC36B0838FF4901B</vt:lpwstr>
  </property>
  <property fmtid="{D5CDD505-2E9C-101B-9397-08002B2CF9AE}" pid="3" name="MediaServiceImageTags">
    <vt:lpwstr/>
  </property>
</Properties>
</file>